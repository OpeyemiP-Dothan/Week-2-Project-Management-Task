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19815" windowHeight="7110" activeTab="5"/>
  </bookViews>
  <sheets>
    <sheet name="Assumptions" sheetId="1" r:id="rId1"/>
    <sheet name="Schedule" sheetId="2" r:id="rId2"/>
    <sheet name="Gantt Chart" sheetId="3" r:id="rId3"/>
    <sheet name="Critical Path" sheetId="4" r:id="rId4"/>
    <sheet name="Resources" sheetId="5" r:id="rId5"/>
    <sheet name="Budget" sheetId="6" r:id="rId6"/>
  </sheets>
  <calcPr calcId="144525"/>
</workbook>
</file>

<file path=xl/calcChain.xml><?xml version="1.0" encoding="utf-8"?>
<calcChain xmlns="http://schemas.openxmlformats.org/spreadsheetml/2006/main">
  <c r="H51" i="6" l="1"/>
  <c r="H50" i="6"/>
  <c r="H49" i="6"/>
  <c r="H48" i="6"/>
  <c r="C10" i="6" s="1"/>
  <c r="H47" i="6"/>
  <c r="H46" i="6"/>
  <c r="H45" i="6"/>
  <c r="H44" i="6"/>
  <c r="C9" i="6" s="1"/>
  <c r="H43" i="6"/>
  <c r="H42" i="6"/>
  <c r="H41" i="6"/>
  <c r="H40" i="6"/>
  <c r="C8" i="6" s="1"/>
  <c r="H39" i="6"/>
  <c r="H38" i="6"/>
  <c r="H37" i="6"/>
  <c r="H36" i="6"/>
  <c r="C7" i="6" s="1"/>
  <c r="H35" i="6"/>
  <c r="H34" i="6"/>
  <c r="H33" i="6"/>
  <c r="H32" i="6"/>
  <c r="C6" i="6" s="1"/>
  <c r="H31" i="6"/>
  <c r="H30" i="6"/>
  <c r="H29" i="6"/>
  <c r="C22" i="6"/>
  <c r="C11" i="6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5" i="4" a="1"/>
  <c r="D55" i="4" s="1"/>
  <c r="C55" i="4" a="1"/>
  <c r="C55" i="4" s="1"/>
  <c r="D54" i="4" a="1"/>
  <c r="D54" i="4" s="1"/>
  <c r="C54" i="4" a="1"/>
  <c r="C54" i="4" s="1"/>
  <c r="D53" i="4" a="1"/>
  <c r="D53" i="4"/>
  <c r="C53" i="4" a="1"/>
  <c r="C53" i="4" s="1"/>
  <c r="D52" i="4" a="1"/>
  <c r="D52" i="4" s="1"/>
  <c r="C52" i="4" a="1"/>
  <c r="C52" i="4"/>
  <c r="D51" i="4" a="1"/>
  <c r="D51" i="4" s="1"/>
  <c r="C51" i="4" a="1"/>
  <c r="C51" i="4" s="1"/>
  <c r="D50" i="4" a="1"/>
  <c r="D50" i="4" s="1"/>
  <c r="C50" i="4" a="1"/>
  <c r="C50" i="4"/>
  <c r="D49" i="4" a="1"/>
  <c r="D49" i="4" s="1"/>
  <c r="C49" i="4" a="1"/>
  <c r="C49" i="4" s="1"/>
  <c r="D48" i="4" a="1"/>
  <c r="D48" i="4" s="1"/>
  <c r="C48" i="4" a="1"/>
  <c r="C48" i="4" s="1"/>
  <c r="D47" i="4" a="1"/>
  <c r="D47" i="4" s="1"/>
  <c r="C47" i="4" a="1"/>
  <c r="C47" i="4" s="1"/>
  <c r="D46" i="4" a="1"/>
  <c r="D46" i="4" s="1"/>
  <c r="C46" i="4" a="1"/>
  <c r="C46" i="4" s="1"/>
  <c r="D45" i="4" a="1"/>
  <c r="D45" i="4" s="1"/>
  <c r="C45" i="4" a="1"/>
  <c r="C45" i="4" s="1"/>
  <c r="D44" i="4" a="1"/>
  <c r="D44" i="4" s="1"/>
  <c r="C44" i="4" a="1"/>
  <c r="C44" i="4" s="1"/>
  <c r="D43" i="4" a="1"/>
  <c r="D43" i="4" s="1"/>
  <c r="C43" i="4" a="1"/>
  <c r="C43" i="4" s="1"/>
  <c r="D42" i="4" a="1"/>
  <c r="D42" i="4" s="1"/>
  <c r="C42" i="4" a="1"/>
  <c r="C42" i="4"/>
  <c r="D41" i="4" a="1"/>
  <c r="D41" i="4" s="1"/>
  <c r="C41" i="4" a="1"/>
  <c r="C41" i="4" s="1"/>
  <c r="D40" i="4" a="1"/>
  <c r="D40" i="4" s="1"/>
  <c r="C40" i="4" a="1"/>
  <c r="C40" i="4" s="1"/>
  <c r="D36" i="4" a="1"/>
  <c r="D36" i="4" s="1"/>
  <c r="C36" i="4" a="1"/>
  <c r="C36" i="4" s="1"/>
  <c r="D35" i="4" a="1"/>
  <c r="D35" i="4" s="1"/>
  <c r="C35" i="4" a="1"/>
  <c r="C35" i="4" s="1"/>
  <c r="D34" i="4" a="1"/>
  <c r="D34" i="4"/>
  <c r="C34" i="4" a="1"/>
  <c r="C34" i="4" s="1"/>
  <c r="D33" i="4" a="1"/>
  <c r="D33" i="4" s="1"/>
  <c r="C33" i="4" a="1"/>
  <c r="C33" i="4"/>
  <c r="D32" i="4" a="1"/>
  <c r="D32" i="4" s="1"/>
  <c r="C32" i="4" a="1"/>
  <c r="C32" i="4" s="1"/>
  <c r="D30" i="4" a="1"/>
  <c r="D30" i="4" s="1"/>
  <c r="C30" i="4" a="1"/>
  <c r="C30" i="4" s="1"/>
  <c r="D29" i="4" a="1"/>
  <c r="D29" i="4" s="1"/>
  <c r="C29" i="4" a="1"/>
  <c r="C29" i="4" s="1"/>
  <c r="D28" i="4" a="1"/>
  <c r="D28" i="4" s="1"/>
  <c r="C28" i="4" a="1"/>
  <c r="C28" i="4" s="1"/>
  <c r="D27" i="4" a="1"/>
  <c r="D27" i="4"/>
  <c r="C27" i="4" a="1"/>
  <c r="C27" i="4" s="1"/>
  <c r="D25" i="4" a="1"/>
  <c r="D25" i="4" s="1"/>
  <c r="C25" i="4" a="1"/>
  <c r="C25" i="4" s="1"/>
  <c r="D24" i="4" a="1"/>
  <c r="D24" i="4"/>
  <c r="C24" i="4" a="1"/>
  <c r="C24" i="4" s="1"/>
  <c r="D23" i="4" a="1"/>
  <c r="D23" i="4" s="1"/>
  <c r="C23" i="4" a="1"/>
  <c r="C23" i="4"/>
  <c r="D22" i="4" a="1"/>
  <c r="D22" i="4" s="1"/>
  <c r="C22" i="4" a="1"/>
  <c r="C22" i="4" s="1"/>
  <c r="D21" i="4" a="1"/>
  <c r="D21" i="4" s="1"/>
  <c r="C21" i="4" a="1"/>
  <c r="C21" i="4" s="1"/>
  <c r="D20" i="4" a="1"/>
  <c r="D20" i="4" s="1"/>
  <c r="C20" i="4" a="1"/>
  <c r="C20" i="4" s="1"/>
  <c r="D18" i="4" a="1"/>
  <c r="D18" i="4"/>
  <c r="C18" i="4" a="1"/>
  <c r="C18" i="4" s="1"/>
  <c r="D17" i="4" a="1"/>
  <c r="D17" i="4" s="1"/>
  <c r="C17" i="4" a="1"/>
  <c r="C17" i="4"/>
  <c r="D16" i="4" a="1"/>
  <c r="D16" i="4" s="1"/>
  <c r="C16" i="4" a="1"/>
  <c r="C16" i="4" s="1"/>
  <c r="D15" i="4" a="1"/>
  <c r="D15" i="4" s="1"/>
  <c r="C15" i="4" a="1"/>
  <c r="C15" i="4" s="1"/>
  <c r="D13" i="4" a="1"/>
  <c r="D13" i="4"/>
  <c r="C13" i="4" a="1"/>
  <c r="C13" i="4" s="1"/>
  <c r="D12" i="4" a="1"/>
  <c r="D12" i="4" s="1"/>
  <c r="C12" i="4" a="1"/>
  <c r="C12" i="4" s="1"/>
  <c r="D5" i="4"/>
  <c r="H55" i="3"/>
  <c r="C55" i="3"/>
  <c r="B55" i="3"/>
  <c r="H54" i="3"/>
  <c r="C54" i="3"/>
  <c r="B54" i="3"/>
  <c r="H53" i="3"/>
  <c r="C53" i="3"/>
  <c r="B53" i="3"/>
  <c r="H52" i="3"/>
  <c r="C52" i="3"/>
  <c r="B52" i="3"/>
  <c r="H51" i="3"/>
  <c r="C51" i="3"/>
  <c r="B51" i="3"/>
  <c r="H50" i="3"/>
  <c r="C50" i="3"/>
  <c r="B50" i="3"/>
  <c r="H47" i="3"/>
  <c r="C47" i="3"/>
  <c r="B47" i="3"/>
  <c r="H46" i="3"/>
  <c r="C46" i="3"/>
  <c r="B46" i="3"/>
  <c r="H45" i="3"/>
  <c r="C45" i="3"/>
  <c r="B45" i="3"/>
  <c r="H44" i="3"/>
  <c r="C44" i="3"/>
  <c r="B44" i="3"/>
  <c r="H43" i="3"/>
  <c r="C43" i="3"/>
  <c r="B43" i="3"/>
  <c r="H42" i="3"/>
  <c r="C42" i="3"/>
  <c r="B42" i="3"/>
  <c r="H41" i="3"/>
  <c r="C41" i="3"/>
  <c r="B41" i="3"/>
  <c r="H38" i="3"/>
  <c r="C38" i="3"/>
  <c r="B38" i="3"/>
  <c r="H37" i="3"/>
  <c r="C37" i="3"/>
  <c r="B37" i="3"/>
  <c r="H36" i="3"/>
  <c r="C36" i="3"/>
  <c r="B36" i="3"/>
  <c r="H35" i="3"/>
  <c r="C35" i="3"/>
  <c r="B35" i="3"/>
  <c r="H32" i="3"/>
  <c r="C32" i="3"/>
  <c r="B32" i="3"/>
  <c r="H31" i="3"/>
  <c r="C31" i="3"/>
  <c r="B31" i="3"/>
  <c r="H30" i="3"/>
  <c r="C30" i="3"/>
  <c r="B30" i="3"/>
  <c r="H29" i="3"/>
  <c r="C29" i="3"/>
  <c r="B29" i="3"/>
  <c r="H26" i="3"/>
  <c r="C26" i="3"/>
  <c r="B26" i="3"/>
  <c r="H25" i="3"/>
  <c r="C25" i="3"/>
  <c r="B25" i="3"/>
  <c r="H24" i="3"/>
  <c r="C24" i="3"/>
  <c r="B24" i="3"/>
  <c r="H23" i="3"/>
  <c r="C23" i="3"/>
  <c r="B23" i="3"/>
  <c r="H22" i="3"/>
  <c r="C22" i="3"/>
  <c r="B22" i="3"/>
  <c r="H21" i="3"/>
  <c r="C21" i="3"/>
  <c r="B21" i="3"/>
  <c r="H20" i="3"/>
  <c r="C20" i="3"/>
  <c r="B20" i="3"/>
  <c r="H19" i="3"/>
  <c r="C19" i="3"/>
  <c r="B19" i="3"/>
  <c r="H16" i="3"/>
  <c r="C16" i="3"/>
  <c r="B16" i="3"/>
  <c r="H15" i="3"/>
  <c r="C15" i="3"/>
  <c r="B15" i="3"/>
  <c r="H14" i="3"/>
  <c r="C14" i="3"/>
  <c r="B14" i="3"/>
  <c r="H13" i="3"/>
  <c r="C13" i="3"/>
  <c r="B13" i="3"/>
  <c r="H12" i="3"/>
  <c r="C12" i="3"/>
  <c r="B12" i="3"/>
  <c r="H9" i="3"/>
  <c r="C9" i="3"/>
  <c r="B9" i="3"/>
  <c r="H8" i="3"/>
  <c r="C8" i="3"/>
  <c r="B8" i="3"/>
  <c r="H7" i="3"/>
  <c r="C7" i="3"/>
  <c r="B7" i="3"/>
  <c r="H6" i="3"/>
  <c r="C6" i="3"/>
  <c r="B6" i="3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I4" i="3"/>
  <c r="E52" i="2"/>
  <c r="E51" i="2"/>
  <c r="K5" i="2"/>
  <c r="F5" i="2"/>
  <c r="E12" i="4" s="1" a="1"/>
  <c r="E12" i="4" s="1"/>
  <c r="J7" i="2" l="1"/>
  <c r="J6" i="2"/>
  <c r="G5" i="2"/>
  <c r="C12" i="6"/>
  <c r="D6" i="3"/>
  <c r="C13" i="6" l="1"/>
  <c r="C14" i="6" s="1"/>
  <c r="F12" i="4" a="1"/>
  <c r="F12" i="4" s="1"/>
  <c r="E6" i="3"/>
  <c r="X6" i="3"/>
  <c r="T6" i="3"/>
  <c r="P6" i="3"/>
  <c r="L6" i="3"/>
  <c r="V6" i="3"/>
  <c r="Q6" i="3"/>
  <c r="K6" i="3"/>
  <c r="W6" i="3"/>
  <c r="Z6" i="3"/>
  <c r="U6" i="3"/>
  <c r="O6" i="3"/>
  <c r="J6" i="3"/>
  <c r="Y6" i="3"/>
  <c r="S6" i="3"/>
  <c r="N6" i="3"/>
  <c r="I6" i="3"/>
  <c r="R6" i="3"/>
  <c r="M6" i="3"/>
  <c r="F7" i="2"/>
  <c r="K7" i="2"/>
  <c r="G7" i="2" s="1"/>
  <c r="F6" i="2"/>
  <c r="K6" i="2"/>
  <c r="D14" i="6" l="1"/>
  <c r="D11" i="6"/>
  <c r="D10" i="6"/>
  <c r="D6" i="6"/>
  <c r="D8" i="6"/>
  <c r="D9" i="6"/>
  <c r="D7" i="6"/>
  <c r="D12" i="6"/>
  <c r="J9" i="2"/>
  <c r="K9" i="2" s="1"/>
  <c r="G6" i="2"/>
  <c r="F13" i="4" a="1"/>
  <c r="F13" i="4" s="1"/>
  <c r="E8" i="3"/>
  <c r="E40" i="4" a="1"/>
  <c r="E40" i="4" s="1"/>
  <c r="D7" i="3"/>
  <c r="E13" i="4" a="1"/>
  <c r="E13" i="4" s="1"/>
  <c r="D8" i="3"/>
  <c r="D18" i="6"/>
  <c r="D21" i="6"/>
  <c r="D20" i="6"/>
  <c r="D19" i="6"/>
  <c r="D13" i="6"/>
  <c r="F40" i="4" l="1" a="1"/>
  <c r="F40" i="4" s="1"/>
  <c r="E7" i="3"/>
  <c r="D22" i="6"/>
  <c r="X7" i="3"/>
  <c r="T7" i="3"/>
  <c r="P7" i="3"/>
  <c r="L7" i="3"/>
  <c r="V7" i="3"/>
  <c r="Q7" i="3"/>
  <c r="K7" i="3"/>
  <c r="W7" i="3"/>
  <c r="M7" i="3"/>
  <c r="Z7" i="3"/>
  <c r="U7" i="3"/>
  <c r="O7" i="3"/>
  <c r="J7" i="3"/>
  <c r="Y7" i="3"/>
  <c r="S7" i="3"/>
  <c r="N7" i="3"/>
  <c r="I7" i="3"/>
  <c r="R7" i="3"/>
  <c r="J13" i="2"/>
  <c r="J10" i="2"/>
  <c r="G9" i="2"/>
  <c r="X8" i="3"/>
  <c r="T8" i="3"/>
  <c r="P8" i="3"/>
  <c r="L8" i="3"/>
  <c r="W8" i="3"/>
  <c r="S8" i="3"/>
  <c r="O8" i="3"/>
  <c r="K8" i="3"/>
  <c r="U8" i="3"/>
  <c r="M8" i="3"/>
  <c r="V8" i="3"/>
  <c r="Z8" i="3"/>
  <c r="R8" i="3"/>
  <c r="J8" i="3"/>
  <c r="Y8" i="3"/>
  <c r="Q8" i="3"/>
  <c r="I8" i="3"/>
  <c r="N8" i="3"/>
  <c r="F15" i="4" l="1" a="1"/>
  <c r="F15" i="4" s="1"/>
  <c r="F9" i="2"/>
  <c r="E9" i="3"/>
  <c r="F13" i="2"/>
  <c r="K13" i="2"/>
  <c r="G13" i="2" s="1"/>
  <c r="F10" i="2"/>
  <c r="K10" i="2"/>
  <c r="E5" i="3"/>
  <c r="F41" i="4" l="1" a="1"/>
  <c r="F41" i="4" s="1"/>
  <c r="E15" i="3"/>
  <c r="E15" i="4" a="1"/>
  <c r="E15" i="4" s="1"/>
  <c r="D9" i="3"/>
  <c r="J11" i="2"/>
  <c r="G10" i="2"/>
  <c r="E16" i="4" a="1"/>
  <c r="E16" i="4" s="1"/>
  <c r="D12" i="3"/>
  <c r="E41" i="4" a="1"/>
  <c r="E41" i="4" s="1"/>
  <c r="D15" i="3"/>
  <c r="F11" i="2" l="1"/>
  <c r="K11" i="2"/>
  <c r="X9" i="3"/>
  <c r="T9" i="3"/>
  <c r="P9" i="3"/>
  <c r="L9" i="3"/>
  <c r="W9" i="3"/>
  <c r="S9" i="3"/>
  <c r="O9" i="3"/>
  <c r="K9" i="3"/>
  <c r="V9" i="3"/>
  <c r="N9" i="3"/>
  <c r="Y9" i="3"/>
  <c r="I9" i="3"/>
  <c r="U9" i="3"/>
  <c r="M9" i="3"/>
  <c r="Z9" i="3"/>
  <c r="R9" i="3"/>
  <c r="J9" i="3"/>
  <c r="Q9" i="3"/>
  <c r="D5" i="3"/>
  <c r="X12" i="3"/>
  <c r="T12" i="3"/>
  <c r="P12" i="3"/>
  <c r="L12" i="3"/>
  <c r="W12" i="3"/>
  <c r="S12" i="3"/>
  <c r="O12" i="3"/>
  <c r="K12" i="3"/>
  <c r="U12" i="3"/>
  <c r="M12" i="3"/>
  <c r="N12" i="3"/>
  <c r="Z12" i="3"/>
  <c r="R12" i="3"/>
  <c r="J12" i="3"/>
  <c r="Y12" i="3"/>
  <c r="Q12" i="3"/>
  <c r="I12" i="3"/>
  <c r="V12" i="3"/>
  <c r="X15" i="3"/>
  <c r="T15" i="3"/>
  <c r="P15" i="3"/>
  <c r="L15" i="3"/>
  <c r="W15" i="3"/>
  <c r="S15" i="3"/>
  <c r="O15" i="3"/>
  <c r="K15" i="3"/>
  <c r="Z15" i="3"/>
  <c r="R15" i="3"/>
  <c r="J15" i="3"/>
  <c r="M15" i="3"/>
  <c r="Y15" i="3"/>
  <c r="Q15" i="3"/>
  <c r="I15" i="3"/>
  <c r="V15" i="3"/>
  <c r="N15" i="3"/>
  <c r="U15" i="3"/>
  <c r="F16" i="4" a="1"/>
  <c r="F16" i="4" s="1"/>
  <c r="E12" i="3"/>
  <c r="J12" i="2" l="1"/>
  <c r="G11" i="2"/>
  <c r="X5" i="3"/>
  <c r="T5" i="3"/>
  <c r="P5" i="3"/>
  <c r="L5" i="3"/>
  <c r="V5" i="3"/>
  <c r="Q5" i="3"/>
  <c r="K5" i="3"/>
  <c r="W5" i="3"/>
  <c r="Z5" i="3"/>
  <c r="U5" i="3"/>
  <c r="O5" i="3"/>
  <c r="J5" i="3"/>
  <c r="Y5" i="3"/>
  <c r="S5" i="3"/>
  <c r="N5" i="3"/>
  <c r="I5" i="3"/>
  <c r="M5" i="3"/>
  <c r="R5" i="3"/>
  <c r="E17" i="4" a="1"/>
  <c r="E17" i="4" s="1"/>
  <c r="D13" i="3"/>
  <c r="X13" i="3" l="1"/>
  <c r="T13" i="3"/>
  <c r="P13" i="3"/>
  <c r="L13" i="3"/>
  <c r="W13" i="3"/>
  <c r="S13" i="3"/>
  <c r="O13" i="3"/>
  <c r="K13" i="3"/>
  <c r="V13" i="3"/>
  <c r="N13" i="3"/>
  <c r="Y13" i="3"/>
  <c r="I13" i="3"/>
  <c r="U13" i="3"/>
  <c r="M13" i="3"/>
  <c r="Z13" i="3"/>
  <c r="R13" i="3"/>
  <c r="J13" i="3"/>
  <c r="Q13" i="3"/>
  <c r="F17" i="4" a="1"/>
  <c r="F17" i="4" s="1"/>
  <c r="E13" i="3"/>
  <c r="F12" i="2"/>
  <c r="K12" i="2"/>
  <c r="E18" i="4" l="1" a="1"/>
  <c r="E18" i="4" s="1"/>
  <c r="D14" i="3"/>
  <c r="J15" i="2"/>
  <c r="K15" i="2" s="1"/>
  <c r="G12" i="2"/>
  <c r="F18" i="4" l="1" a="1"/>
  <c r="F18" i="4" s="1"/>
  <c r="E14" i="3"/>
  <c r="J29" i="2"/>
  <c r="J18" i="2"/>
  <c r="J16" i="2"/>
  <c r="G15" i="2"/>
  <c r="J17" i="2"/>
  <c r="X14" i="3"/>
  <c r="T14" i="3"/>
  <c r="P14" i="3"/>
  <c r="L14" i="3"/>
  <c r="W14" i="3"/>
  <c r="S14" i="3"/>
  <c r="O14" i="3"/>
  <c r="K14" i="3"/>
  <c r="Y14" i="3"/>
  <c r="Q14" i="3"/>
  <c r="I14" i="3"/>
  <c r="R14" i="3"/>
  <c r="V14" i="3"/>
  <c r="N14" i="3"/>
  <c r="U14" i="3"/>
  <c r="M14" i="3"/>
  <c r="Z14" i="3"/>
  <c r="J14" i="3"/>
  <c r="K17" i="2" l="1"/>
  <c r="F17" i="2"/>
  <c r="K29" i="2"/>
  <c r="F29" i="2"/>
  <c r="F20" i="4" a="1"/>
  <c r="F20" i="4" s="1"/>
  <c r="E16" i="3"/>
  <c r="E11" i="3" s="1"/>
  <c r="F15" i="2"/>
  <c r="K16" i="2"/>
  <c r="F16" i="2"/>
  <c r="K18" i="2"/>
  <c r="F18" i="2"/>
  <c r="E21" i="4" l="1" a="1"/>
  <c r="E21" i="4" s="1"/>
  <c r="D19" i="3"/>
  <c r="G17" i="2"/>
  <c r="J19" i="2"/>
  <c r="E43" i="4" a="1"/>
  <c r="E43" i="4" s="1"/>
  <c r="D21" i="3"/>
  <c r="J22" i="2"/>
  <c r="G16" i="2"/>
  <c r="E48" i="4" a="1"/>
  <c r="E48" i="4" s="1"/>
  <c r="D35" i="3"/>
  <c r="J20" i="2"/>
  <c r="G18" i="2"/>
  <c r="E20" i="4" a="1"/>
  <c r="E20" i="4" s="1"/>
  <c r="D16" i="3"/>
  <c r="J30" i="2"/>
  <c r="G29" i="2"/>
  <c r="E42" i="4" a="1"/>
  <c r="E42" i="4" s="1"/>
  <c r="D20" i="3"/>
  <c r="X20" i="3" l="1"/>
  <c r="T20" i="3"/>
  <c r="P20" i="3"/>
  <c r="L20" i="3"/>
  <c r="W20" i="3"/>
  <c r="S20" i="3"/>
  <c r="O20" i="3"/>
  <c r="K20" i="3"/>
  <c r="U20" i="3"/>
  <c r="M20" i="3"/>
  <c r="N20" i="3"/>
  <c r="Z20" i="3"/>
  <c r="R20" i="3"/>
  <c r="J20" i="3"/>
  <c r="Y20" i="3"/>
  <c r="Q20" i="3"/>
  <c r="I20" i="3"/>
  <c r="V20" i="3"/>
  <c r="X16" i="3"/>
  <c r="T16" i="3"/>
  <c r="P16" i="3"/>
  <c r="L16" i="3"/>
  <c r="W16" i="3"/>
  <c r="S16" i="3"/>
  <c r="O16" i="3"/>
  <c r="K16" i="3"/>
  <c r="U16" i="3"/>
  <c r="M16" i="3"/>
  <c r="N16" i="3"/>
  <c r="Z16" i="3"/>
  <c r="R16" i="3"/>
  <c r="J16" i="3"/>
  <c r="Y16" i="3"/>
  <c r="Q16" i="3"/>
  <c r="I16" i="3"/>
  <c r="V16" i="3"/>
  <c r="D11" i="3"/>
  <c r="X21" i="3"/>
  <c r="T21" i="3"/>
  <c r="P21" i="3"/>
  <c r="L21" i="3"/>
  <c r="W21" i="3"/>
  <c r="S21" i="3"/>
  <c r="O21" i="3"/>
  <c r="K21" i="3"/>
  <c r="V21" i="3"/>
  <c r="N21" i="3"/>
  <c r="Y21" i="3"/>
  <c r="I21" i="3"/>
  <c r="U21" i="3"/>
  <c r="M21" i="3"/>
  <c r="Z21" i="3"/>
  <c r="R21" i="3"/>
  <c r="J21" i="3"/>
  <c r="Q21" i="3"/>
  <c r="F48" i="4" a="1"/>
  <c r="F48" i="4" s="1"/>
  <c r="E35" i="3"/>
  <c r="F43" i="4" a="1"/>
  <c r="F43" i="4" s="1"/>
  <c r="E21" i="3"/>
  <c r="F21" i="4" a="1"/>
  <c r="F21" i="4" s="1"/>
  <c r="E19" i="3"/>
  <c r="K19" i="2"/>
  <c r="F19" i="2"/>
  <c r="K30" i="2"/>
  <c r="F30" i="2"/>
  <c r="K20" i="2"/>
  <c r="G20" i="2" s="1"/>
  <c r="F20" i="2"/>
  <c r="K22" i="2"/>
  <c r="F22" i="2"/>
  <c r="F42" i="4" a="1"/>
  <c r="F42" i="4" s="1"/>
  <c r="E20" i="3"/>
  <c r="Z35" i="3"/>
  <c r="V35" i="3"/>
  <c r="R35" i="3"/>
  <c r="N35" i="3"/>
  <c r="J35" i="3"/>
  <c r="W35" i="3"/>
  <c r="Q35" i="3"/>
  <c r="L35" i="3"/>
  <c r="U35" i="3"/>
  <c r="P35" i="3"/>
  <c r="K35" i="3"/>
  <c r="Y35" i="3"/>
  <c r="T35" i="3"/>
  <c r="O35" i="3"/>
  <c r="I35" i="3"/>
  <c r="S35" i="3"/>
  <c r="M35" i="3"/>
  <c r="X35" i="3"/>
  <c r="X19" i="3"/>
  <c r="T19" i="3"/>
  <c r="P19" i="3"/>
  <c r="L19" i="3"/>
  <c r="W19" i="3"/>
  <c r="S19" i="3"/>
  <c r="O19" i="3"/>
  <c r="K19" i="3"/>
  <c r="Z19" i="3"/>
  <c r="R19" i="3"/>
  <c r="J19" i="3"/>
  <c r="M19" i="3"/>
  <c r="Y19" i="3"/>
  <c r="Q19" i="3"/>
  <c r="I19" i="3"/>
  <c r="V19" i="3"/>
  <c r="N19" i="3"/>
  <c r="U19" i="3"/>
  <c r="J25" i="2" l="1"/>
  <c r="G22" i="2"/>
  <c r="J26" i="2"/>
  <c r="G30" i="2"/>
  <c r="J31" i="2"/>
  <c r="E45" i="4" a="1"/>
  <c r="E45" i="4" s="1"/>
  <c r="D23" i="3"/>
  <c r="E44" i="4" a="1"/>
  <c r="E44" i="4" s="1"/>
  <c r="D22" i="3"/>
  <c r="F45" i="4" a="1"/>
  <c r="F45" i="4" s="1"/>
  <c r="E23" i="3"/>
  <c r="G19" i="2"/>
  <c r="J21" i="2"/>
  <c r="E22" i="4" a="1"/>
  <c r="E22" i="4" s="1"/>
  <c r="D25" i="3"/>
  <c r="E49" i="4" a="1"/>
  <c r="E49" i="4" s="1"/>
  <c r="D36" i="3"/>
  <c r="X11" i="3"/>
  <c r="T11" i="3"/>
  <c r="P11" i="3"/>
  <c r="L11" i="3"/>
  <c r="W11" i="3"/>
  <c r="S11" i="3"/>
  <c r="O11" i="3"/>
  <c r="K11" i="3"/>
  <c r="Z11" i="3"/>
  <c r="R11" i="3"/>
  <c r="J11" i="3"/>
  <c r="Y11" i="3"/>
  <c r="Q11" i="3"/>
  <c r="I11" i="3"/>
  <c r="V11" i="3"/>
  <c r="N11" i="3"/>
  <c r="M11" i="3"/>
  <c r="U11" i="3"/>
  <c r="F44" i="4" l="1" a="1"/>
  <c r="F44" i="4" s="1"/>
  <c r="E22" i="3"/>
  <c r="F49" i="4" a="1"/>
  <c r="F49" i="4" s="1"/>
  <c r="E36" i="3"/>
  <c r="Z25" i="3"/>
  <c r="V25" i="3"/>
  <c r="R25" i="3"/>
  <c r="N25" i="3"/>
  <c r="J25" i="3"/>
  <c r="X25" i="3"/>
  <c r="S25" i="3"/>
  <c r="M25" i="3"/>
  <c r="W25" i="3"/>
  <c r="P25" i="3"/>
  <c r="I25" i="3"/>
  <c r="U25" i="3"/>
  <c r="O25" i="3"/>
  <c r="L25" i="3"/>
  <c r="Q25" i="3"/>
  <c r="Y25" i="3"/>
  <c r="K25" i="3"/>
  <c r="T25" i="3"/>
  <c r="X23" i="3"/>
  <c r="T23" i="3"/>
  <c r="P23" i="3"/>
  <c r="L23" i="3"/>
  <c r="W23" i="3"/>
  <c r="S23" i="3"/>
  <c r="O23" i="3"/>
  <c r="K23" i="3"/>
  <c r="Z23" i="3"/>
  <c r="R23" i="3"/>
  <c r="J23" i="3"/>
  <c r="U23" i="3"/>
  <c r="Y23" i="3"/>
  <c r="Q23" i="3"/>
  <c r="I23" i="3"/>
  <c r="V23" i="3"/>
  <c r="N23" i="3"/>
  <c r="M23" i="3"/>
  <c r="K26" i="2"/>
  <c r="F26" i="2"/>
  <c r="F22" i="4" a="1"/>
  <c r="F22" i="4" s="1"/>
  <c r="E25" i="3"/>
  <c r="Z36" i="3"/>
  <c r="V36" i="3"/>
  <c r="R36" i="3"/>
  <c r="N36" i="3"/>
  <c r="J36" i="3"/>
  <c r="Y36" i="3"/>
  <c r="T36" i="3"/>
  <c r="O36" i="3"/>
  <c r="I36" i="3"/>
  <c r="X36" i="3"/>
  <c r="S36" i="3"/>
  <c r="M36" i="3"/>
  <c r="W36" i="3"/>
  <c r="Q36" i="3"/>
  <c r="L36" i="3"/>
  <c r="U36" i="3"/>
  <c r="P36" i="3"/>
  <c r="K36" i="3"/>
  <c r="K21" i="2"/>
  <c r="F21" i="2"/>
  <c r="X22" i="3"/>
  <c r="T22" i="3"/>
  <c r="P22" i="3"/>
  <c r="L22" i="3"/>
  <c r="W22" i="3"/>
  <c r="S22" i="3"/>
  <c r="O22" i="3"/>
  <c r="K22" i="3"/>
  <c r="Y22" i="3"/>
  <c r="Q22" i="3"/>
  <c r="I22" i="3"/>
  <c r="Z22" i="3"/>
  <c r="J22" i="3"/>
  <c r="V22" i="3"/>
  <c r="N22" i="3"/>
  <c r="U22" i="3"/>
  <c r="M22" i="3"/>
  <c r="R22" i="3"/>
  <c r="K31" i="2"/>
  <c r="F31" i="2"/>
  <c r="K25" i="2"/>
  <c r="F25" i="2"/>
  <c r="G21" i="2" l="1"/>
  <c r="J24" i="2"/>
  <c r="K24" i="2" s="1"/>
  <c r="G24" i="2" s="1"/>
  <c r="G25" i="2"/>
  <c r="E50" i="4" a="1"/>
  <c r="E50" i="4" s="1"/>
  <c r="D37" i="3"/>
  <c r="E23" i="4" a="1"/>
  <c r="E23" i="4" s="1"/>
  <c r="D30" i="3"/>
  <c r="E47" i="4" a="1"/>
  <c r="E47" i="4" s="1"/>
  <c r="D29" i="3"/>
  <c r="J32" i="2"/>
  <c r="G31" i="2"/>
  <c r="E46" i="4" a="1"/>
  <c r="E46" i="4" s="1"/>
  <c r="D24" i="3"/>
  <c r="G26" i="2"/>
  <c r="J27" i="2"/>
  <c r="K27" i="2" l="1"/>
  <c r="F27" i="2"/>
  <c r="F23" i="4" a="1"/>
  <c r="F23" i="4" s="1"/>
  <c r="E30" i="3"/>
  <c r="K32" i="2"/>
  <c r="G32" i="2" s="1"/>
  <c r="F32" i="2"/>
  <c r="Z30" i="3"/>
  <c r="V30" i="3"/>
  <c r="R30" i="3"/>
  <c r="N30" i="3"/>
  <c r="J30" i="3"/>
  <c r="W30" i="3"/>
  <c r="Q30" i="3"/>
  <c r="L30" i="3"/>
  <c r="U30" i="3"/>
  <c r="O30" i="3"/>
  <c r="T30" i="3"/>
  <c r="M30" i="3"/>
  <c r="P30" i="3"/>
  <c r="S30" i="3"/>
  <c r="Y30" i="3"/>
  <c r="K30" i="3"/>
  <c r="X30" i="3"/>
  <c r="I30" i="3"/>
  <c r="F46" i="4" a="1"/>
  <c r="F46" i="4" s="1"/>
  <c r="E24" i="3"/>
  <c r="Z24" i="3"/>
  <c r="V24" i="3"/>
  <c r="R24" i="3"/>
  <c r="N24" i="3"/>
  <c r="W24" i="3"/>
  <c r="Q24" i="3"/>
  <c r="L24" i="3"/>
  <c r="U24" i="3"/>
  <c r="P24" i="3"/>
  <c r="K24" i="3"/>
  <c r="X24" i="3"/>
  <c r="M24" i="3"/>
  <c r="T24" i="3"/>
  <c r="J24" i="3"/>
  <c r="S24" i="3"/>
  <c r="I24" i="3"/>
  <c r="Y24" i="3"/>
  <c r="O24" i="3"/>
  <c r="Z29" i="3"/>
  <c r="V29" i="3"/>
  <c r="R29" i="3"/>
  <c r="N29" i="3"/>
  <c r="J29" i="3"/>
  <c r="Y29" i="3"/>
  <c r="T29" i="3"/>
  <c r="O29" i="3"/>
  <c r="I29" i="3"/>
  <c r="X29" i="3"/>
  <c r="Q29" i="3"/>
  <c r="K29" i="3"/>
  <c r="W29" i="3"/>
  <c r="P29" i="3"/>
  <c r="M29" i="3"/>
  <c r="S29" i="3"/>
  <c r="L29" i="3"/>
  <c r="U29" i="3"/>
  <c r="Z37" i="3"/>
  <c r="V37" i="3"/>
  <c r="R37" i="3"/>
  <c r="N37" i="3"/>
  <c r="J37" i="3"/>
  <c r="W37" i="3"/>
  <c r="Q37" i="3"/>
  <c r="L37" i="3"/>
  <c r="U37" i="3"/>
  <c r="P37" i="3"/>
  <c r="K37" i="3"/>
  <c r="Y37" i="3"/>
  <c r="T37" i="3"/>
  <c r="O37" i="3"/>
  <c r="I37" i="3"/>
  <c r="M37" i="3"/>
  <c r="S37" i="3"/>
  <c r="X37" i="3"/>
  <c r="F50" i="4" a="1"/>
  <c r="F50" i="4" s="1"/>
  <c r="E37" i="3"/>
  <c r="E26" i="3"/>
  <c r="F24" i="2"/>
  <c r="D26" i="3" s="1"/>
  <c r="D18" i="3" s="1"/>
  <c r="F47" i="4" a="1"/>
  <c r="F47" i="4" s="1"/>
  <c r="E29" i="3"/>
  <c r="X18" i="3" l="1"/>
  <c r="T18" i="3"/>
  <c r="P18" i="3"/>
  <c r="L18" i="3"/>
  <c r="W18" i="3"/>
  <c r="S18" i="3"/>
  <c r="O18" i="3"/>
  <c r="K18" i="3"/>
  <c r="Y18" i="3"/>
  <c r="Q18" i="3"/>
  <c r="I18" i="3"/>
  <c r="Z18" i="3"/>
  <c r="J18" i="3"/>
  <c r="V18" i="3"/>
  <c r="N18" i="3"/>
  <c r="U18" i="3"/>
  <c r="M18" i="3"/>
  <c r="R18" i="3"/>
  <c r="Z26" i="3"/>
  <c r="V26" i="3"/>
  <c r="R26" i="3"/>
  <c r="N26" i="3"/>
  <c r="J26" i="3"/>
  <c r="U26" i="3"/>
  <c r="P26" i="3"/>
  <c r="K26" i="3"/>
  <c r="T26" i="3"/>
  <c r="M26" i="3"/>
  <c r="Y26" i="3"/>
  <c r="S26" i="3"/>
  <c r="L26" i="3"/>
  <c r="O26" i="3"/>
  <c r="Q26" i="3"/>
  <c r="X26" i="3"/>
  <c r="I26" i="3"/>
  <c r="W26" i="3"/>
  <c r="E18" i="3"/>
  <c r="E51" i="4" a="1"/>
  <c r="E51" i="4" s="1"/>
  <c r="D38" i="3"/>
  <c r="E24" i="4" a="1"/>
  <c r="E24" i="4" s="1"/>
  <c r="D31" i="3"/>
  <c r="F51" i="4" a="1"/>
  <c r="F51" i="4" s="1"/>
  <c r="E38" i="3"/>
  <c r="E34" i="3" s="1"/>
  <c r="G27" i="2"/>
  <c r="J28" i="2"/>
  <c r="K28" i="2" l="1"/>
  <c r="F28" i="2"/>
  <c r="F24" i="4" a="1"/>
  <c r="F24" i="4" s="1"/>
  <c r="E31" i="3"/>
  <c r="Z31" i="3"/>
  <c r="V31" i="3"/>
  <c r="R31" i="3"/>
  <c r="N31" i="3"/>
  <c r="J31" i="3"/>
  <c r="Y31" i="3"/>
  <c r="T31" i="3"/>
  <c r="O31" i="3"/>
  <c r="I31" i="3"/>
  <c r="X31" i="3"/>
  <c r="S31" i="3"/>
  <c r="M31" i="3"/>
  <c r="U31" i="3"/>
  <c r="K31" i="3"/>
  <c r="Q31" i="3"/>
  <c r="L31" i="3"/>
  <c r="W31" i="3"/>
  <c r="P31" i="3"/>
  <c r="Z38" i="3"/>
  <c r="V38" i="3"/>
  <c r="R38" i="3"/>
  <c r="N38" i="3"/>
  <c r="J38" i="3"/>
  <c r="Y38" i="3"/>
  <c r="T38" i="3"/>
  <c r="O38" i="3"/>
  <c r="I38" i="3"/>
  <c r="X38" i="3"/>
  <c r="S38" i="3"/>
  <c r="M38" i="3"/>
  <c r="W38" i="3"/>
  <c r="Q38" i="3"/>
  <c r="L38" i="3"/>
  <c r="P38" i="3"/>
  <c r="K38" i="3"/>
  <c r="U38" i="3"/>
  <c r="D34" i="3"/>
  <c r="Z34" i="3" l="1"/>
  <c r="V34" i="3"/>
  <c r="R34" i="3"/>
  <c r="N34" i="3"/>
  <c r="J34" i="3"/>
  <c r="Y34" i="3"/>
  <c r="T34" i="3"/>
  <c r="O34" i="3"/>
  <c r="X34" i="3"/>
  <c r="S34" i="3"/>
  <c r="M34" i="3"/>
  <c r="W34" i="3"/>
  <c r="Q34" i="3"/>
  <c r="L34" i="3"/>
  <c r="I34" i="3"/>
  <c r="U34" i="3"/>
  <c r="P34" i="3"/>
  <c r="K34" i="3"/>
  <c r="E25" i="4" a="1"/>
  <c r="E25" i="4" s="1"/>
  <c r="D32" i="3"/>
  <c r="G28" i="2"/>
  <c r="J34" i="2"/>
  <c r="K34" i="2" s="1"/>
  <c r="J42" i="2" l="1"/>
  <c r="J35" i="2"/>
  <c r="J36" i="2"/>
  <c r="G34" i="2"/>
  <c r="J37" i="2"/>
  <c r="F25" i="4" a="1"/>
  <c r="F25" i="4" s="1"/>
  <c r="E32" i="3"/>
  <c r="E28" i="3" s="1"/>
  <c r="Z32" i="3"/>
  <c r="V32" i="3"/>
  <c r="R32" i="3"/>
  <c r="N32" i="3"/>
  <c r="J32" i="3"/>
  <c r="W32" i="3"/>
  <c r="Q32" i="3"/>
  <c r="L32" i="3"/>
  <c r="U32" i="3"/>
  <c r="P32" i="3"/>
  <c r="K32" i="3"/>
  <c r="S32" i="3"/>
  <c r="Y32" i="3"/>
  <c r="O32" i="3"/>
  <c r="M32" i="3"/>
  <c r="T32" i="3"/>
  <c r="I32" i="3"/>
  <c r="X32" i="3"/>
  <c r="D28" i="3"/>
  <c r="K35" i="2" l="1"/>
  <c r="F35" i="2"/>
  <c r="F27" i="4" a="1"/>
  <c r="F27" i="4" s="1"/>
  <c r="E41" i="3"/>
  <c r="F34" i="2"/>
  <c r="K36" i="2"/>
  <c r="G36" i="2" s="1"/>
  <c r="F36" i="2"/>
  <c r="Z28" i="3"/>
  <c r="V28" i="3"/>
  <c r="R28" i="3"/>
  <c r="N28" i="3"/>
  <c r="J28" i="3"/>
  <c r="W28" i="3"/>
  <c r="Q28" i="3"/>
  <c r="L28" i="3"/>
  <c r="U28" i="3"/>
  <c r="O28" i="3"/>
  <c r="T28" i="3"/>
  <c r="M28" i="3"/>
  <c r="X28" i="3"/>
  <c r="I28" i="3"/>
  <c r="Y28" i="3"/>
  <c r="K28" i="3"/>
  <c r="S28" i="3"/>
  <c r="P28" i="3"/>
  <c r="K37" i="2"/>
  <c r="G37" i="2" s="1"/>
  <c r="F37" i="2"/>
  <c r="K42" i="2"/>
  <c r="G42" i="2" s="1"/>
  <c r="F42" i="2"/>
  <c r="E54" i="4" l="1" a="1"/>
  <c r="E54" i="4" s="1"/>
  <c r="D50" i="3"/>
  <c r="F54" i="4" a="1"/>
  <c r="F54" i="4" s="1"/>
  <c r="E50" i="3"/>
  <c r="E28" i="4" a="1"/>
  <c r="E28" i="4" s="1"/>
  <c r="D44" i="3"/>
  <c r="E53" i="4" a="1"/>
  <c r="E53" i="4" s="1"/>
  <c r="D43" i="3"/>
  <c r="F53" i="4" a="1"/>
  <c r="F53" i="4" s="1"/>
  <c r="E43" i="3"/>
  <c r="D42" i="3"/>
  <c r="E52" i="4" a="1"/>
  <c r="E52" i="4" s="1"/>
  <c r="F28" i="4" a="1"/>
  <c r="F28" i="4" s="1"/>
  <c r="E44" i="3"/>
  <c r="E27" i="4" a="1"/>
  <c r="E27" i="4" s="1"/>
  <c r="D41" i="3"/>
  <c r="G35" i="2"/>
  <c r="J38" i="2"/>
  <c r="Z50" i="3" l="1"/>
  <c r="V50" i="3"/>
  <c r="R50" i="3"/>
  <c r="N50" i="3"/>
  <c r="J50" i="3"/>
  <c r="W50" i="3"/>
  <c r="Q50" i="3"/>
  <c r="L50" i="3"/>
  <c r="U50" i="3"/>
  <c r="P50" i="3"/>
  <c r="K50" i="3"/>
  <c r="Y50" i="3"/>
  <c r="T50" i="3"/>
  <c r="O50" i="3"/>
  <c r="I50" i="3"/>
  <c r="X50" i="3"/>
  <c r="M50" i="3"/>
  <c r="S50" i="3"/>
  <c r="Z41" i="3"/>
  <c r="V41" i="3"/>
  <c r="R41" i="3"/>
  <c r="N41" i="3"/>
  <c r="J41" i="3"/>
  <c r="X41" i="3"/>
  <c r="S41" i="3"/>
  <c r="M41" i="3"/>
  <c r="W41" i="3"/>
  <c r="Q41" i="3"/>
  <c r="L41" i="3"/>
  <c r="U41" i="3"/>
  <c r="P41" i="3"/>
  <c r="K41" i="3"/>
  <c r="Y41" i="3"/>
  <c r="T41" i="3"/>
  <c r="I41" i="3"/>
  <c r="O41" i="3"/>
  <c r="Z43" i="3"/>
  <c r="V43" i="3"/>
  <c r="R43" i="3"/>
  <c r="N43" i="3"/>
  <c r="J43" i="3"/>
  <c r="X43" i="3"/>
  <c r="S43" i="3"/>
  <c r="M43" i="3"/>
  <c r="W43" i="3"/>
  <c r="Q43" i="3"/>
  <c r="L43" i="3"/>
  <c r="U43" i="3"/>
  <c r="P43" i="3"/>
  <c r="K43" i="3"/>
  <c r="O43" i="3"/>
  <c r="I43" i="3"/>
  <c r="Y43" i="3"/>
  <c r="T43" i="3"/>
  <c r="Z42" i="3"/>
  <c r="V42" i="3"/>
  <c r="R42" i="3"/>
  <c r="N42" i="3"/>
  <c r="J42" i="3"/>
  <c r="U42" i="3"/>
  <c r="P42" i="3"/>
  <c r="K42" i="3"/>
  <c r="Y42" i="3"/>
  <c r="T42" i="3"/>
  <c r="O42" i="3"/>
  <c r="I42" i="3"/>
  <c r="X42" i="3"/>
  <c r="S42" i="3"/>
  <c r="M42" i="3"/>
  <c r="W42" i="3"/>
  <c r="Q42" i="3"/>
  <c r="L42" i="3"/>
  <c r="K38" i="2"/>
  <c r="F38" i="2"/>
  <c r="Z44" i="3"/>
  <c r="V44" i="3"/>
  <c r="R44" i="3"/>
  <c r="N44" i="3"/>
  <c r="J44" i="3"/>
  <c r="U44" i="3"/>
  <c r="P44" i="3"/>
  <c r="K44" i="3"/>
  <c r="Y44" i="3"/>
  <c r="T44" i="3"/>
  <c r="O44" i="3"/>
  <c r="I44" i="3"/>
  <c r="X44" i="3"/>
  <c r="S44" i="3"/>
  <c r="M44" i="3"/>
  <c r="Q44" i="3"/>
  <c r="L44" i="3"/>
  <c r="W44" i="3"/>
  <c r="F52" i="4" a="1"/>
  <c r="F52" i="4" s="1"/>
  <c r="E42" i="3"/>
  <c r="J39" i="2" l="1"/>
  <c r="G38" i="2"/>
  <c r="E29" i="4" a="1"/>
  <c r="E29" i="4" s="1"/>
  <c r="D45" i="3"/>
  <c r="F29" i="4" l="1" a="1"/>
  <c r="F29" i="4" s="1"/>
  <c r="E45" i="3"/>
  <c r="Z45" i="3"/>
  <c r="V45" i="3"/>
  <c r="R45" i="3"/>
  <c r="N45" i="3"/>
  <c r="J45" i="3"/>
  <c r="X45" i="3"/>
  <c r="S45" i="3"/>
  <c r="M45" i="3"/>
  <c r="W45" i="3"/>
  <c r="Q45" i="3"/>
  <c r="L45" i="3"/>
  <c r="U45" i="3"/>
  <c r="P45" i="3"/>
  <c r="K45" i="3"/>
  <c r="Y45" i="3"/>
  <c r="T45" i="3"/>
  <c r="I45" i="3"/>
  <c r="O45" i="3"/>
  <c r="K39" i="2"/>
  <c r="F39" i="2"/>
  <c r="E30" i="4" l="1" a="1"/>
  <c r="E30" i="4" s="1"/>
  <c r="D46" i="3"/>
  <c r="G39" i="2"/>
  <c r="J41" i="2"/>
  <c r="K41" i="2" s="1"/>
  <c r="Z46" i="3" l="1"/>
  <c r="V46" i="3"/>
  <c r="R46" i="3"/>
  <c r="N46" i="3"/>
  <c r="J46" i="3"/>
  <c r="U46" i="3"/>
  <c r="P46" i="3"/>
  <c r="K46" i="3"/>
  <c r="Y46" i="3"/>
  <c r="T46" i="3"/>
  <c r="O46" i="3"/>
  <c r="I46" i="3"/>
  <c r="X46" i="3"/>
  <c r="S46" i="3"/>
  <c r="M46" i="3"/>
  <c r="W46" i="3"/>
  <c r="Q46" i="3"/>
  <c r="L46" i="3"/>
  <c r="J44" i="2"/>
  <c r="J43" i="2"/>
  <c r="G41" i="2"/>
  <c r="F30" i="4" a="1"/>
  <c r="F30" i="4" s="1"/>
  <c r="E46" i="3"/>
  <c r="F32" i="4" l="1" a="1"/>
  <c r="F32" i="4" s="1"/>
  <c r="E47" i="3"/>
  <c r="E40" i="3" s="1"/>
  <c r="F41" i="2"/>
  <c r="K44" i="2"/>
  <c r="G44" i="2" s="1"/>
  <c r="F44" i="2"/>
  <c r="K43" i="2"/>
  <c r="F43" i="2"/>
  <c r="E33" i="4" l="1" a="1"/>
  <c r="E33" i="4" s="1"/>
  <c r="D52" i="3"/>
  <c r="E52" i="3"/>
  <c r="F33" i="4" a="1"/>
  <c r="F33" i="4" s="1"/>
  <c r="E55" i="4" a="1"/>
  <c r="E55" i="4" s="1"/>
  <c r="D51" i="3"/>
  <c r="E32" i="4" a="1"/>
  <c r="E32" i="4" s="1"/>
  <c r="D47" i="3"/>
  <c r="J45" i="2"/>
  <c r="G43" i="2"/>
  <c r="F55" i="4" l="1" a="1"/>
  <c r="F55" i="4" s="1"/>
  <c r="E51" i="3"/>
  <c r="Z51" i="3"/>
  <c r="V51" i="3"/>
  <c r="R51" i="3"/>
  <c r="N51" i="3"/>
  <c r="J51" i="3"/>
  <c r="Y51" i="3"/>
  <c r="T51" i="3"/>
  <c r="O51" i="3"/>
  <c r="I51" i="3"/>
  <c r="X51" i="3"/>
  <c r="S51" i="3"/>
  <c r="M51" i="3"/>
  <c r="W51" i="3"/>
  <c r="Q51" i="3"/>
  <c r="L51" i="3"/>
  <c r="K51" i="3"/>
  <c r="U51" i="3"/>
  <c r="P51" i="3"/>
  <c r="Z52" i="3"/>
  <c r="V52" i="3"/>
  <c r="R52" i="3"/>
  <c r="N52" i="3"/>
  <c r="J52" i="3"/>
  <c r="W52" i="3"/>
  <c r="Q52" i="3"/>
  <c r="L52" i="3"/>
  <c r="U52" i="3"/>
  <c r="O52" i="3"/>
  <c r="T52" i="3"/>
  <c r="M52" i="3"/>
  <c r="Y52" i="3"/>
  <c r="S52" i="3"/>
  <c r="K52" i="3"/>
  <c r="X52" i="3"/>
  <c r="P52" i="3"/>
  <c r="I52" i="3"/>
  <c r="K45" i="2"/>
  <c r="F45" i="2"/>
  <c r="Z47" i="3"/>
  <c r="V47" i="3"/>
  <c r="R47" i="3"/>
  <c r="N47" i="3"/>
  <c r="J47" i="3"/>
  <c r="X47" i="3"/>
  <c r="S47" i="3"/>
  <c r="M47" i="3"/>
  <c r="W47" i="3"/>
  <c r="Q47" i="3"/>
  <c r="L47" i="3"/>
  <c r="U47" i="3"/>
  <c r="P47" i="3"/>
  <c r="K47" i="3"/>
  <c r="O47" i="3"/>
  <c r="I47" i="3"/>
  <c r="Y47" i="3"/>
  <c r="T47" i="3"/>
  <c r="D40" i="3"/>
  <c r="Z40" i="3" l="1"/>
  <c r="V40" i="3"/>
  <c r="R40" i="3"/>
  <c r="N40" i="3"/>
  <c r="J40" i="3"/>
  <c r="U40" i="3"/>
  <c r="P40" i="3"/>
  <c r="K40" i="3"/>
  <c r="Y40" i="3"/>
  <c r="T40" i="3"/>
  <c r="O40" i="3"/>
  <c r="I40" i="3"/>
  <c r="X40" i="3"/>
  <c r="S40" i="3"/>
  <c r="M40" i="3"/>
  <c r="Q40" i="3"/>
  <c r="L40" i="3"/>
  <c r="W40" i="3"/>
  <c r="G45" i="2"/>
  <c r="J46" i="2"/>
  <c r="E34" i="4" a="1"/>
  <c r="E34" i="4" s="1"/>
  <c r="D53" i="3"/>
  <c r="Z53" i="3" l="1"/>
  <c r="V53" i="3"/>
  <c r="R53" i="3"/>
  <c r="N53" i="3"/>
  <c r="J53" i="3"/>
  <c r="Y53" i="3"/>
  <c r="T53" i="3"/>
  <c r="O53" i="3"/>
  <c r="I53" i="3"/>
  <c r="X53" i="3"/>
  <c r="Q53" i="3"/>
  <c r="K53" i="3"/>
  <c r="W53" i="3"/>
  <c r="P53" i="3"/>
  <c r="U53" i="3"/>
  <c r="M53" i="3"/>
  <c r="S53" i="3"/>
  <c r="L53" i="3"/>
  <c r="E53" i="3"/>
  <c r="F34" i="4" a="1"/>
  <c r="F34" i="4" s="1"/>
  <c r="K46" i="2"/>
  <c r="F46" i="2"/>
  <c r="G46" i="2" l="1"/>
  <c r="J47" i="2"/>
  <c r="K47" i="2" s="1"/>
  <c r="E35" i="4" a="1"/>
  <c r="E35" i="4" s="1"/>
  <c r="D54" i="3"/>
  <c r="E54" i="3" l="1"/>
  <c r="F35" i="4" a="1"/>
  <c r="F35" i="4" s="1"/>
  <c r="Z54" i="3"/>
  <c r="V54" i="3"/>
  <c r="R54" i="3"/>
  <c r="N54" i="3"/>
  <c r="J54" i="3"/>
  <c r="W54" i="3"/>
  <c r="Q54" i="3"/>
  <c r="L54" i="3"/>
  <c r="U54" i="3"/>
  <c r="O54" i="3"/>
  <c r="T54" i="3"/>
  <c r="M54" i="3"/>
  <c r="Y54" i="3"/>
  <c r="S54" i="3"/>
  <c r="K54" i="3"/>
  <c r="X54" i="3"/>
  <c r="P54" i="3"/>
  <c r="I54" i="3"/>
  <c r="G47" i="2"/>
  <c r="E49" i="2"/>
  <c r="M47" i="2"/>
  <c r="L47" i="2" s="1"/>
  <c r="D4" i="4"/>
  <c r="M46" i="2" l="1"/>
  <c r="L46" i="2" s="1"/>
  <c r="N47" i="2"/>
  <c r="E12" i="5"/>
  <c r="E9" i="5"/>
  <c r="E8" i="5"/>
  <c r="E6" i="5"/>
  <c r="E7" i="5"/>
  <c r="E10" i="5"/>
  <c r="E11" i="5"/>
  <c r="E55" i="3"/>
  <c r="E49" i="3" s="1"/>
  <c r="F36" i="4" a="1"/>
  <c r="F36" i="4" s="1"/>
  <c r="F47" i="2"/>
  <c r="E50" i="2"/>
  <c r="D6" i="4"/>
  <c r="E36" i="4" l="1" a="1"/>
  <c r="E36" i="4" s="1"/>
  <c r="D55" i="3"/>
  <c r="G36" i="4" a="1"/>
  <c r="G36" i="4" s="1"/>
  <c r="O47" i="2"/>
  <c r="F55" i="3" s="1"/>
  <c r="N46" i="2"/>
  <c r="M45" i="2"/>
  <c r="L45" i="2" s="1"/>
  <c r="M44" i="2" l="1"/>
  <c r="L44" i="2" s="1"/>
  <c r="N45" i="2"/>
  <c r="M43" i="2"/>
  <c r="L43" i="2" s="1"/>
  <c r="Z55" i="3"/>
  <c r="V55" i="3"/>
  <c r="R55" i="3"/>
  <c r="N55" i="3"/>
  <c r="J55" i="3"/>
  <c r="Y55" i="3"/>
  <c r="T55" i="3"/>
  <c r="O55" i="3"/>
  <c r="I55" i="3"/>
  <c r="X55" i="3"/>
  <c r="Q55" i="3"/>
  <c r="K55" i="3"/>
  <c r="W55" i="3"/>
  <c r="P55" i="3"/>
  <c r="U55" i="3"/>
  <c r="M55" i="3"/>
  <c r="L55" i="3"/>
  <c r="S55" i="3"/>
  <c r="D49" i="3"/>
  <c r="G35" i="4" a="1"/>
  <c r="G35" i="4" s="1"/>
  <c r="O46" i="2"/>
  <c r="F54" i="3" s="1"/>
  <c r="N43" i="2" l="1"/>
  <c r="M41" i="2"/>
  <c r="L41" i="2" s="1"/>
  <c r="N44" i="2"/>
  <c r="M42" i="2"/>
  <c r="L42" i="2" s="1"/>
  <c r="N42" i="2" s="1"/>
  <c r="Z49" i="3"/>
  <c r="V49" i="3"/>
  <c r="R49" i="3"/>
  <c r="N49" i="3"/>
  <c r="J49" i="3"/>
  <c r="Y49" i="3"/>
  <c r="T49" i="3"/>
  <c r="O49" i="3"/>
  <c r="I49" i="3"/>
  <c r="X49" i="3"/>
  <c r="S49" i="3"/>
  <c r="M49" i="3"/>
  <c r="W49" i="3"/>
  <c r="Q49" i="3"/>
  <c r="L49" i="3"/>
  <c r="P49" i="3"/>
  <c r="K49" i="3"/>
  <c r="U49" i="3"/>
  <c r="G34" i="4" a="1"/>
  <c r="G34" i="4" s="1"/>
  <c r="O45" i="2"/>
  <c r="F53" i="3" s="1"/>
  <c r="G33" i="4" l="1" a="1"/>
  <c r="G33" i="4" s="1"/>
  <c r="O44" i="2"/>
  <c r="F52" i="3" s="1"/>
  <c r="G54" i="4" a="1"/>
  <c r="G54" i="4" s="1"/>
  <c r="O42" i="2"/>
  <c r="F50" i="3" s="1"/>
  <c r="M39" i="2"/>
  <c r="L39" i="2" s="1"/>
  <c r="N41" i="2"/>
  <c r="G55" i="4" a="1"/>
  <c r="G55" i="4" s="1"/>
  <c r="O43" i="2"/>
  <c r="F51" i="3" s="1"/>
  <c r="N39" i="2" l="1"/>
  <c r="M38" i="2"/>
  <c r="L38" i="2" s="1"/>
  <c r="G32" i="4" a="1"/>
  <c r="G32" i="4" s="1"/>
  <c r="O41" i="2"/>
  <c r="F47" i="3" s="1"/>
  <c r="M36" i="2" l="1"/>
  <c r="L36" i="2" s="1"/>
  <c r="N36" i="2" s="1"/>
  <c r="M37" i="2"/>
  <c r="L37" i="2" s="1"/>
  <c r="N37" i="2" s="1"/>
  <c r="M35" i="2"/>
  <c r="L35" i="2" s="1"/>
  <c r="N38" i="2"/>
  <c r="G30" i="4" a="1"/>
  <c r="G30" i="4" s="1"/>
  <c r="O39" i="2"/>
  <c r="F46" i="3" s="1"/>
  <c r="G53" i="4" l="1" a="1"/>
  <c r="G53" i="4" s="1"/>
  <c r="O36" i="2"/>
  <c r="F43" i="3" s="1"/>
  <c r="G29" i="4" a="1"/>
  <c r="G29" i="4" s="1"/>
  <c r="O38" i="2"/>
  <c r="F45" i="3" s="1"/>
  <c r="N35" i="2"/>
  <c r="M34" i="2"/>
  <c r="L34" i="2" s="1"/>
  <c r="G28" i="4" a="1"/>
  <c r="G28" i="4" s="1"/>
  <c r="O37" i="2"/>
  <c r="F44" i="3" s="1"/>
  <c r="G52" i="4" l="1" a="1"/>
  <c r="G52" i="4" s="1"/>
  <c r="O35" i="2"/>
  <c r="F42" i="3" s="1"/>
  <c r="M32" i="2"/>
  <c r="L32" i="2" s="1"/>
  <c r="M28" i="2"/>
  <c r="L28" i="2" s="1"/>
  <c r="M24" i="2"/>
  <c r="L24" i="2" s="1"/>
  <c r="N34" i="2"/>
  <c r="N28" i="2" l="1"/>
  <c r="M27" i="2"/>
  <c r="L27" i="2" s="1"/>
  <c r="M25" i="2"/>
  <c r="L25" i="2" s="1"/>
  <c r="N25" i="2" s="1"/>
  <c r="N32" i="2"/>
  <c r="M31" i="2"/>
  <c r="L31" i="2" s="1"/>
  <c r="G27" i="4" a="1"/>
  <c r="G27" i="4" s="1"/>
  <c r="O34" i="2"/>
  <c r="F41" i="3" s="1"/>
  <c r="N24" i="2"/>
  <c r="O24" i="2" s="1"/>
  <c r="F26" i="3" s="1"/>
  <c r="M21" i="2"/>
  <c r="L21" i="2" s="1"/>
  <c r="G47" i="4" l="1" a="1"/>
  <c r="G47" i="4" s="1"/>
  <c r="O25" i="2"/>
  <c r="F29" i="3" s="1"/>
  <c r="M26" i="2"/>
  <c r="L26" i="2" s="1"/>
  <c r="N27" i="2"/>
  <c r="G51" i="4" a="1"/>
  <c r="G51" i="4" s="1"/>
  <c r="O32" i="2"/>
  <c r="F38" i="3" s="1"/>
  <c r="N21" i="2"/>
  <c r="M19" i="2"/>
  <c r="L19" i="2" s="1"/>
  <c r="M20" i="2"/>
  <c r="L20" i="2" s="1"/>
  <c r="M30" i="2"/>
  <c r="L30" i="2" s="1"/>
  <c r="N31" i="2"/>
  <c r="G25" i="4" a="1"/>
  <c r="G25" i="4" s="1"/>
  <c r="O28" i="2"/>
  <c r="F32" i="3" s="1"/>
  <c r="N19" i="2" l="1"/>
  <c r="M17" i="2"/>
  <c r="L17" i="2" s="1"/>
  <c r="N17" i="2" s="1"/>
  <c r="G24" i="4" a="1"/>
  <c r="G24" i="4" s="1"/>
  <c r="O27" i="2"/>
  <c r="F31" i="3" s="1"/>
  <c r="G50" i="4" a="1"/>
  <c r="G50" i="4" s="1"/>
  <c r="O31" i="2"/>
  <c r="F37" i="3" s="1"/>
  <c r="G46" i="4" a="1"/>
  <c r="G46" i="4" s="1"/>
  <c r="O21" i="2"/>
  <c r="F24" i="3" s="1"/>
  <c r="N26" i="2"/>
  <c r="M22" i="2"/>
  <c r="L22" i="2" s="1"/>
  <c r="N20" i="2"/>
  <c r="M18" i="2"/>
  <c r="L18" i="2" s="1"/>
  <c r="N18" i="2" s="1"/>
  <c r="N30" i="2"/>
  <c r="M29" i="2"/>
  <c r="L29" i="2" s="1"/>
  <c r="N29" i="2" s="1"/>
  <c r="G48" i="4" l="1" a="1"/>
  <c r="G48" i="4" s="1"/>
  <c r="O29" i="2"/>
  <c r="F35" i="3" s="1"/>
  <c r="G42" i="4" a="1"/>
  <c r="G42" i="4" s="1"/>
  <c r="O17" i="2"/>
  <c r="F20" i="3" s="1"/>
  <c r="G43" i="4" a="1"/>
  <c r="G43" i="4" s="1"/>
  <c r="O18" i="2"/>
  <c r="F21" i="3" s="1"/>
  <c r="G45" i="4" a="1"/>
  <c r="G45" i="4" s="1"/>
  <c r="O20" i="2"/>
  <c r="F23" i="3" s="1"/>
  <c r="N22" i="2"/>
  <c r="M16" i="2"/>
  <c r="L16" i="2" s="1"/>
  <c r="G49" i="4" a="1"/>
  <c r="G49" i="4" s="1"/>
  <c r="O30" i="2"/>
  <c r="F36" i="3" s="1"/>
  <c r="G23" i="4" a="1"/>
  <c r="G23" i="4" s="1"/>
  <c r="O26" i="2"/>
  <c r="F30" i="3" s="1"/>
  <c r="G44" i="4" a="1"/>
  <c r="G44" i="4" s="1"/>
  <c r="O19" i="2"/>
  <c r="F22" i="3" s="1"/>
  <c r="G22" i="4" l="1" a="1"/>
  <c r="G22" i="4" s="1"/>
  <c r="O22" i="2"/>
  <c r="F25" i="3" s="1"/>
  <c r="M15" i="2"/>
  <c r="L15" i="2" s="1"/>
  <c r="N16" i="2"/>
  <c r="O16" i="2" l="1"/>
  <c r="F19" i="3" s="1"/>
  <c r="G21" i="4" a="1"/>
  <c r="G21" i="4" s="1"/>
  <c r="N15" i="2"/>
  <c r="M13" i="2"/>
  <c r="L13" i="2" s="1"/>
  <c r="N13" i="2" s="1"/>
  <c r="M12" i="2"/>
  <c r="L12" i="2" s="1"/>
  <c r="G41" i="4" l="1" a="1"/>
  <c r="G41" i="4" s="1"/>
  <c r="O13" i="2"/>
  <c r="F15" i="3" s="1"/>
  <c r="N12" i="2"/>
  <c r="M11" i="2"/>
  <c r="L11" i="2" s="1"/>
  <c r="G20" i="4" a="1"/>
  <c r="G20" i="4" s="1"/>
  <c r="O15" i="2"/>
  <c r="F16" i="3" s="1"/>
  <c r="N11" i="2" l="1"/>
  <c r="M10" i="2"/>
  <c r="L10" i="2" s="1"/>
  <c r="G18" i="4" a="1"/>
  <c r="G18" i="4" s="1"/>
  <c r="O12" i="2"/>
  <c r="F14" i="3" s="1"/>
  <c r="G17" i="4" l="1" a="1"/>
  <c r="G17" i="4" s="1"/>
  <c r="O11" i="2"/>
  <c r="F13" i="3" s="1"/>
  <c r="N10" i="2"/>
  <c r="M9" i="2"/>
  <c r="L9" i="2" s="1"/>
  <c r="N9" i="2" l="1"/>
  <c r="M7" i="2"/>
  <c r="L7" i="2" s="1"/>
  <c r="N7" i="2" s="1"/>
  <c r="M6" i="2"/>
  <c r="L6" i="2" s="1"/>
  <c r="G16" i="4" a="1"/>
  <c r="G16" i="4" s="1"/>
  <c r="O10" i="2"/>
  <c r="F12" i="3" s="1"/>
  <c r="N6" i="2" l="1"/>
  <c r="M5" i="2"/>
  <c r="L5" i="2" s="1"/>
  <c r="N5" i="2" s="1"/>
  <c r="G13" i="4" a="1"/>
  <c r="G13" i="4" s="1"/>
  <c r="O7" i="2"/>
  <c r="F8" i="3" s="1"/>
  <c r="G15" i="4" a="1"/>
  <c r="G15" i="4" s="1"/>
  <c r="O9" i="2"/>
  <c r="F9" i="3" s="1"/>
  <c r="G12" i="4" l="1" a="1"/>
  <c r="G12" i="4" s="1"/>
  <c r="D8" i="4"/>
  <c r="O5" i="2"/>
  <c r="G40" i="4" a="1"/>
  <c r="G40" i="4" s="1"/>
  <c r="O6" i="2"/>
  <c r="F7" i="3" s="1"/>
  <c r="D7" i="4" l="1"/>
  <c r="F6" i="3"/>
</calcChain>
</file>

<file path=xl/sharedStrings.xml><?xml version="1.0" encoding="utf-8"?>
<sst xmlns="http://schemas.openxmlformats.org/spreadsheetml/2006/main" count="669" uniqueCount="358">
  <si>
    <t xml:space="preserve"> </t>
  </si>
  <si>
    <t>ShopSmart Retail Analytics &amp; AI Implementation Project</t>
  </si>
  <si>
    <t>Gantt Chart (weekly view)</t>
  </si>
  <si>
    <t>Critical Path Analysis</t>
  </si>
  <si>
    <t>AnalystLab Africa PM Internship, Week 2: Assumptions and legend</t>
  </si>
  <si>
    <t>Project start date</t>
  </si>
  <si>
    <t>Activity ID</t>
  </si>
  <si>
    <t>Total project duration (working days)</t>
  </si>
  <si>
    <t>ID</t>
  </si>
  <si>
    <t>Activity Name</t>
  </si>
  <si>
    <t>Phase</t>
  </si>
  <si>
    <t>Activity / Phase</t>
  </si>
  <si>
    <t>Duration (days)</t>
  </si>
  <si>
    <t>Start</t>
  </si>
  <si>
    <t>Start Date</t>
  </si>
  <si>
    <t>Finish Date</t>
  </si>
  <si>
    <t>Finish</t>
  </si>
  <si>
    <t>Dependencies (Predecessors)</t>
  </si>
  <si>
    <t>Assigned Resource</t>
  </si>
  <si>
    <t>Early Start (day)</t>
  </si>
  <si>
    <t>Critical?</t>
  </si>
  <si>
    <t>Early Finish (day)</t>
  </si>
  <si>
    <t>Type</t>
  </si>
  <si>
    <t>Predecessors</t>
  </si>
  <si>
    <t>Working week</t>
  </si>
  <si>
    <t>Late Start (day)</t>
  </si>
  <si>
    <t>Late Finish (day)</t>
  </si>
  <si>
    <t>Monday to Friday</t>
  </si>
  <si>
    <t>Total Float (days)</t>
  </si>
  <si>
    <t>Currency</t>
  </si>
  <si>
    <t>Nigerian Naira (indicative estimates)</t>
  </si>
  <si>
    <t>Non working days (Nigerian public holidays)</t>
  </si>
  <si>
    <t>A01</t>
  </si>
  <si>
    <t>Christmas Day</t>
  </si>
  <si>
    <t>Project kick-off and sign-off of execution plan</t>
  </si>
  <si>
    <t>Boxing Day (observed)</t>
  </si>
  <si>
    <t>New Year's Day</t>
  </si>
  <si>
    <t>1. Initiation &amp; Mobilisation</t>
  </si>
  <si>
    <t>Good Friday</t>
  </si>
  <si>
    <t>Easter Monday</t>
  </si>
  <si>
    <t>Workers' Day (observed)</t>
  </si>
  <si>
    <t>Legend</t>
  </si>
  <si>
    <t>Blue text</t>
  </si>
  <si>
    <t>Input (change to re-plan: start date, holidays, durations, quantities, rates)</t>
  </si>
  <si>
    <t>Black text</t>
  </si>
  <si>
    <t>Formula (do not overwrite)</t>
  </si>
  <si>
    <t>Yellow cell</t>
  </si>
  <si>
    <t>Project finish date</t>
  </si>
  <si>
    <t>Key assumption: project start date</t>
  </si>
  <si>
    <t>Key planning assumptions</t>
  </si>
  <si>
    <t>1. All dependencies are Finish to Start with no lag.</t>
  </si>
  <si>
    <t>2. Durations are in working days. Dates calculate from the start date, skipping weekends and listed holidays.</t>
  </si>
  <si>
    <t>3. Moveable religious holidays (for example Eid) are not pre loaded. Add them to the holiday list if declared.</t>
  </si>
  <si>
    <t>4. Critical path uses the Critical Path Method (forward and backward pass). Float = Late Start minus Early Start.</t>
  </si>
  <si>
    <t>5. Costs are indicative Naira estimates built from role day rates, licence prices and cloud run rates.</t>
  </si>
  <si>
    <t>6. Contingency reserve is 12% of the base budget because data quality, API limits and price changes add uncertainty.</t>
  </si>
  <si>
    <t>7. The Week 1 baseline (Charter, Scope Statement, WBS, Risk Register, Communication Plan) is approved. Out of scope: ERP, mobile apps, live production deployment, payment gateway, loyalty system.</t>
  </si>
  <si>
    <t>Critical activities (excluding milestones)</t>
  </si>
  <si>
    <t>None</t>
  </si>
  <si>
    <t>Project Manager</t>
  </si>
  <si>
    <t>Activities with float</t>
  </si>
  <si>
    <t>A02</t>
  </si>
  <si>
    <t>Tools, access and environment setup (Power BI, Python, GitHub, API keys)</t>
  </si>
  <si>
    <t>P1</t>
  </si>
  <si>
    <t>Table 1: Critical path (zero float), in sequence</t>
  </si>
  <si>
    <t>INITIATION &amp; MOBILISATION</t>
  </si>
  <si>
    <t>Activity</t>
  </si>
  <si>
    <t>Project Manager, Data Analyst</t>
  </si>
  <si>
    <t>Duration</t>
  </si>
  <si>
    <t>Float</t>
  </si>
  <si>
    <t>A03</t>
  </si>
  <si>
    <t>Dataset handover and file validation (9 CSV files and data dictionary)</t>
  </si>
  <si>
    <t>Business Analyst, Data Analyst</t>
  </si>
  <si>
    <t>M1</t>
  </si>
  <si>
    <t>Milestone: Project Mobilised</t>
  </si>
  <si>
    <t>A02, A03</t>
  </si>
  <si>
    <t>Resource Allocation Plan</t>
  </si>
  <si>
    <t>Utilisation = budgeted days per person divided by total project duration.</t>
  </si>
  <si>
    <t>1. Human Resources</t>
  </si>
  <si>
    <t>Role</t>
  </si>
  <si>
    <t>Qty</t>
  </si>
  <si>
    <t>A04</t>
  </si>
  <si>
    <t>Days per person</t>
  </si>
  <si>
    <t>Data profiling and quality assessment</t>
  </si>
  <si>
    <t>2. Data Preparation &amp; Requirements</t>
  </si>
  <si>
    <t>Utilisation of project duration</t>
  </si>
  <si>
    <t>Key responsibilities</t>
  </si>
  <si>
    <t>Main activities</t>
  </si>
  <si>
    <t>Data Scientist, Data Analyst</t>
  </si>
  <si>
    <t>A05</t>
  </si>
  <si>
    <t>Data cleaning and standardisation</t>
  </si>
  <si>
    <t>Plan, schedule, budget, risks, reporting, stakeholder management, change control</t>
  </si>
  <si>
    <t>A01, A02, A07, A28, A30 to A32</t>
  </si>
  <si>
    <t>Business Analyst</t>
  </si>
  <si>
    <t>Requirements, stakeholder workshops, UAT coordination, user training</t>
  </si>
  <si>
    <t>A03, A07, A13, A26, A28, A29</t>
  </si>
  <si>
    <t>A06</t>
  </si>
  <si>
    <t>Data Analyst</t>
  </si>
  <si>
    <t>Data validation and reconciliation checks</t>
  </si>
  <si>
    <t>Dashboards, data cleaning support, executive reporting</t>
  </si>
  <si>
    <t>A02 to A06, A09 to A13, A23, A27, A29, A30</t>
  </si>
  <si>
    <t>Data Scientist</t>
  </si>
  <si>
    <t>Data Scientist, QA Tester</t>
  </si>
  <si>
    <t>A07</t>
  </si>
  <si>
    <t>Requirements workshops with ShopSmart managers</t>
  </si>
  <si>
    <t>Data profiling and cleaning, exploratory analysis, feature engineering, segmentation</t>
  </si>
  <si>
    <t>A04 to A06, A08, A14, A16, A17</t>
  </si>
  <si>
    <t>Machine Learning Engineer</t>
  </si>
  <si>
    <t>Forecasting model, recommendation prototype, model evaluation, integration</t>
  </si>
  <si>
    <t>Business Analyst, Project Manager</t>
  </si>
  <si>
    <t>A15, A17, A18, A22, A24, A27</t>
  </si>
  <si>
    <t>Generative AI Engineer</t>
  </si>
  <si>
    <t>Milestone</t>
  </si>
  <si>
    <t>Prompt library, report generator, Streamlit Retail Copilot</t>
  </si>
  <si>
    <t>A19 to A22, A25, A27</t>
  </si>
  <si>
    <t>M2</t>
  </si>
  <si>
    <t>Milestone: Clean Dataset and Requirements Baselined</t>
  </si>
  <si>
    <t>QA Tester</t>
  </si>
  <si>
    <t>Data validation, code review, testing, UAT support</t>
  </si>
  <si>
    <t>A06, A18, A23 to A26</t>
  </si>
  <si>
    <t>2. Software Resources</t>
  </si>
  <si>
    <t>A06, A07</t>
  </si>
  <si>
    <t>Tool</t>
  </si>
  <si>
    <t>Purpose</t>
  </si>
  <si>
    <t>Users</t>
  </si>
  <si>
    <t>Used in activities</t>
  </si>
  <si>
    <t>Power BI Pro</t>
  </si>
  <si>
    <t>Dashboards and sharing with managers</t>
  </si>
  <si>
    <t>12 users</t>
  </si>
  <si>
    <t>A09 to A13, A23, A26</t>
  </si>
  <si>
    <t>Python and Jupyter Notebook (open source)</t>
  </si>
  <si>
    <t>Cleaning, analysis, feature engineering, modelling</t>
  </si>
  <si>
    <t>Data team</t>
  </si>
  <si>
    <t>A04 to A22</t>
  </si>
  <si>
    <t>VS Code (free)</t>
  </si>
  <si>
    <t>Code development and review</t>
  </si>
  <si>
    <t>A14 to A27</t>
  </si>
  <si>
    <t>GitHub</t>
  </si>
  <si>
    <t>Version control and project repository</t>
  </si>
  <si>
    <t>8 users</t>
  </si>
  <si>
    <t>A02 to A32</t>
  </si>
  <si>
    <t>Streamlit (open source)</t>
  </si>
  <si>
    <t>Interface for the AI Retail Copilot</t>
  </si>
  <si>
    <t>GenAI engineer</t>
  </si>
  <si>
    <t>A21, A22</t>
  </si>
  <si>
    <t>P2</t>
  </si>
  <si>
    <t>OpenAI or Gemini API</t>
  </si>
  <si>
    <t>DATA PREPARATION &amp; REQUIREMENTS</t>
  </si>
  <si>
    <t>Language model for the copilot and report generator</t>
  </si>
  <si>
    <t>A19 to A25</t>
  </si>
  <si>
    <t>Jira or ClickUp</t>
  </si>
  <si>
    <t>Task tracking and status reporting</t>
  </si>
  <si>
    <t>All</t>
  </si>
  <si>
    <t>3. Hardware Resources</t>
  </si>
  <si>
    <t>Item</t>
  </si>
  <si>
    <t>Needed for</t>
  </si>
  <si>
    <t>High spec laptops</t>
  </si>
  <si>
    <t>2</t>
  </si>
  <si>
    <t>Model training and copilot development</t>
  </si>
  <si>
    <t>A15 to A22</t>
  </si>
  <si>
    <t>External drives and peripherals</t>
  </si>
  <si>
    <t>8</t>
  </si>
  <si>
    <t>Data transfer and workstation set up</t>
  </si>
  <si>
    <t>Secure backup storage device</t>
  </si>
  <si>
    <t>1</t>
  </si>
  <si>
    <t>Backup of cleaned datasets and models</t>
  </si>
  <si>
    <t>A05 to A32</t>
  </si>
  <si>
    <t>A08</t>
  </si>
  <si>
    <t>4. External Services</t>
  </si>
  <si>
    <t>Service</t>
  </si>
  <si>
    <t>Exploratory data analysis and statistical insights</t>
  </si>
  <si>
    <t>Linked activity</t>
  </si>
  <si>
    <t>3. Data Analytics &amp; Data Science</t>
  </si>
  <si>
    <t>Data protection adviser</t>
  </si>
  <si>
    <t>Review of NDPA compliance for customer data</t>
  </si>
  <si>
    <t>A04, A19</t>
  </si>
  <si>
    <t>Independent security reviewer</t>
  </si>
  <si>
    <t>Security review of the AI Retail Copilot</t>
  </si>
  <si>
    <t>A25</t>
  </si>
  <si>
    <t>Venue and logistics provider</t>
  </si>
  <si>
    <t>Workshops and final presentation</t>
  </si>
  <si>
    <t>A07, A31</t>
  </si>
  <si>
    <t>5. Team Responsibilities (RACI: R Responsible, A Accountable, C Consulted, I Informed)</t>
  </si>
  <si>
    <t>Deliverable</t>
  </si>
  <si>
    <t>Sponsor</t>
  </si>
  <si>
    <t>PM</t>
  </si>
  <si>
    <t>BA</t>
  </si>
  <si>
    <t>DA</t>
  </si>
  <si>
    <t>DS</t>
  </si>
  <si>
    <t>MLE</t>
  </si>
  <si>
    <t>GAI</t>
  </si>
  <si>
    <t>QA</t>
  </si>
  <si>
    <t>ShopSmart</t>
  </si>
  <si>
    <t>Execution plan and governance</t>
  </si>
  <si>
    <t>A</t>
  </si>
  <si>
    <t>R</t>
  </si>
  <si>
    <t>C</t>
  </si>
  <si>
    <t>I</t>
  </si>
  <si>
    <t>Data profiling, cleaning and validation</t>
  </si>
  <si>
    <t>Requirements and workshops</t>
  </si>
  <si>
    <t>Dashboards and executive report</t>
  </si>
  <si>
    <t>A09</t>
  </si>
  <si>
    <t>Sales dashboard development</t>
  </si>
  <si>
    <t>Feature engineering and statistical insights</t>
  </si>
  <si>
    <t>Forecasting and segmentation models</t>
  </si>
  <si>
    <t>Prompt library and AI Retail Copilot</t>
  </si>
  <si>
    <t>Testing and defect resolution</t>
  </si>
  <si>
    <t>UAT and acceptance</t>
  </si>
  <si>
    <t>Training, final presentation and closure</t>
  </si>
  <si>
    <t>A10</t>
  </si>
  <si>
    <t>Customer dashboard development</t>
  </si>
  <si>
    <t>A11</t>
  </si>
  <si>
    <t>Store performance dashboard development</t>
  </si>
  <si>
    <t>A12</t>
  </si>
  <si>
    <t>Inventory dashboard development</t>
  </si>
  <si>
    <t>A14</t>
  </si>
  <si>
    <t>A13</t>
  </si>
  <si>
    <t>Executive analytics report</t>
  </si>
  <si>
    <t>A11, A12</t>
  </si>
  <si>
    <t>A16</t>
  </si>
  <si>
    <t>Feature engineering pipeline</t>
  </si>
  <si>
    <t>P3</t>
  </si>
  <si>
    <t>DATA ANALYTICS &amp; DATA SCIENCE</t>
  </si>
  <si>
    <t>M3</t>
  </si>
  <si>
    <t>Milestone: Analytics and Feature Pipeline Complete</t>
  </si>
  <si>
    <t>A17</t>
  </si>
  <si>
    <t>A13, A14</t>
  </si>
  <si>
    <t>A15</t>
  </si>
  <si>
    <t>Sales forecasting model development</t>
  </si>
  <si>
    <t>4. Machine Learning</t>
  </si>
  <si>
    <t>Project Budget (NGN)</t>
  </si>
  <si>
    <t>Total = Qty x Unit cost x Duration/Multiplier. Contingency is a percentage of the base budget.</t>
  </si>
  <si>
    <t>Budget summary</t>
  </si>
  <si>
    <t>Category</t>
  </si>
  <si>
    <t>Amount (NGN)</t>
  </si>
  <si>
    <t>% of total budget</t>
  </si>
  <si>
    <t>Contingency rate</t>
  </si>
  <si>
    <t>Personnel</t>
  </si>
  <si>
    <t>A18</t>
  </si>
  <si>
    <t>Customer segmentation model</t>
  </si>
  <si>
    <t>Product recommendation prototype</t>
  </si>
  <si>
    <t>of base budget</t>
  </si>
  <si>
    <t>Data Scientist, Machine Learning Engineer</t>
  </si>
  <si>
    <t>Software Licences</t>
  </si>
  <si>
    <t>Model evaluation and evaluation report</t>
  </si>
  <si>
    <t>M4</t>
  </si>
  <si>
    <t>Hardware</t>
  </si>
  <si>
    <t>Cloud Services</t>
  </si>
  <si>
    <t>External Services</t>
  </si>
  <si>
    <t>A15, A17</t>
  </si>
  <si>
    <t>Machine Learning Engineer, QA Tester</t>
  </si>
  <si>
    <t>Training</t>
  </si>
  <si>
    <t>Base budget (subtotal)</t>
  </si>
  <si>
    <t>A19</t>
  </si>
  <si>
    <t>Prompt library design and testing</t>
  </si>
  <si>
    <t>5. Generative AI</t>
  </si>
  <si>
    <t>Contingency reserve</t>
  </si>
  <si>
    <t>TOTAL PROJECT BUDGET</t>
  </si>
  <si>
    <t>Contingency allocation</t>
  </si>
  <si>
    <t>Risk theme</t>
  </si>
  <si>
    <t>A20</t>
  </si>
  <si>
    <t>Retail report generator</t>
  </si>
  <si>
    <t>Share</t>
  </si>
  <si>
    <t>Data quality and missing records</t>
  </si>
  <si>
    <t>Delivery delays and schedule pressure</t>
  </si>
  <si>
    <t>API limits and technical integration</t>
  </si>
  <si>
    <t>Budget, price changes and scope changes</t>
  </si>
  <si>
    <t>Total contingency</t>
  </si>
  <si>
    <t>A26</t>
  </si>
  <si>
    <t>Detailed cost estimate</t>
  </si>
  <si>
    <t>Basis</t>
  </si>
  <si>
    <t>Unit cost (NGN)</t>
  </si>
  <si>
    <t>Duration / Multiplier</t>
  </si>
  <si>
    <t>Total (NGN)</t>
  </si>
  <si>
    <t>1 FTE for the full duration (days per person x day rate)</t>
  </si>
  <si>
    <t>Requirements, UAT, training (days per person x day rate)</t>
  </si>
  <si>
    <t>A21</t>
  </si>
  <si>
    <t>2 people, dashboards and data support (days per person x day rate)</t>
  </si>
  <si>
    <t>AI Retail Copilot development (Streamlit)</t>
  </si>
  <si>
    <t>Cleaning, EDA, features, segmentation (days per person x day rate)</t>
  </si>
  <si>
    <t>Forecasting and recommendation models (days per person x day rate)</t>
  </si>
  <si>
    <t>A27</t>
  </si>
  <si>
    <t>Prompt library and AI Retail Copilot (days per person x day rate)</t>
  </si>
  <si>
    <t>Validation, code review, testing (days per person x day rate)</t>
  </si>
  <si>
    <t>Power BI Pro licences</t>
  </si>
  <si>
    <t>12 users, 4 months</t>
  </si>
  <si>
    <t>A22</t>
  </si>
  <si>
    <t>Copilot integration with data and forecasting model</t>
  </si>
  <si>
    <t>GitHub Team</t>
  </si>
  <si>
    <t>8 users, 4 months</t>
  </si>
  <si>
    <t>Project tracking tool (Jira or ClickUp)</t>
  </si>
  <si>
    <t>Open source tools (Python, Jupyter, VS Code, Streamlit)</t>
  </si>
  <si>
    <t>No licence fee</t>
  </si>
  <si>
    <t>A21, A15</t>
  </si>
  <si>
    <t>Generative AI Engineer, Machine Learning Engineer</t>
  </si>
  <si>
    <t>High spec laptops for model training</t>
  </si>
  <si>
    <t>Purchase</t>
  </si>
  <si>
    <t>M5</t>
  </si>
  <si>
    <t>LLM API usage (OpenAI or Gemini) for development and testing</t>
  </si>
  <si>
    <t>Monthly, 4 months</t>
  </si>
  <si>
    <t>Cloud storage and compute for model training</t>
  </si>
  <si>
    <t>Milestone: All Workstream Deliverables Built</t>
  </si>
  <si>
    <t>6. Testing &amp; Quality Assurance</t>
  </si>
  <si>
    <t>Streamlit prototype hosting</t>
  </si>
  <si>
    <t>A18, A22, M3</t>
  </si>
  <si>
    <t>Data protection (NDPA) review</t>
  </si>
  <si>
    <t>Fixed fee</t>
  </si>
  <si>
    <t>Independent security review of the AI Retail Copilot</t>
  </si>
  <si>
    <t>Workshop and final presentation logistics</t>
  </si>
  <si>
    <t>A30</t>
  </si>
  <si>
    <t>Team upskilling (Power BI and prompt engineering)</t>
  </si>
  <si>
    <t>8 team members</t>
  </si>
  <si>
    <t>A23</t>
  </si>
  <si>
    <t>Dashboard quality review and data accuracy testing</t>
  </si>
  <si>
    <t>ShopSmart manager training sessions</t>
  </si>
  <si>
    <t>3 sessions</t>
  </si>
  <si>
    <t>Training materials and user guides</t>
  </si>
  <si>
    <t>Fixed</t>
  </si>
  <si>
    <t>QA Tester, Data Analyst</t>
  </si>
  <si>
    <t>A24</t>
  </si>
  <si>
    <t>Code review and model testing</t>
  </si>
  <si>
    <t>A31</t>
  </si>
  <si>
    <t>QA Tester, Machine Learning Engineer</t>
  </si>
  <si>
    <t>Copilot testing and prompt evaluation</t>
  </si>
  <si>
    <t>P4</t>
  </si>
  <si>
    <t>MACHINE LEARNING</t>
  </si>
  <si>
    <t>QA Tester, Generative AI Engineer</t>
  </si>
  <si>
    <t>A32</t>
  </si>
  <si>
    <t>User acceptance testing with ShopSmart managers</t>
  </si>
  <si>
    <t>A23, A24, A25</t>
  </si>
  <si>
    <t>Business Analyst, QA Tester</t>
  </si>
  <si>
    <t>Defect fixing and retesting</t>
  </si>
  <si>
    <t>M6</t>
  </si>
  <si>
    <t>Data Analyst, Machine Learning Engineer, Generative AI Engineer</t>
  </si>
  <si>
    <t>Milestone: Deliverables Accepted</t>
  </si>
  <si>
    <t xml:space="preserve">Table 2: Activities with float </t>
  </si>
  <si>
    <t>Float (days)</t>
  </si>
  <si>
    <t>A28</t>
  </si>
  <si>
    <t>Project and technical documentation</t>
  </si>
  <si>
    <t>7. Documentation, Presentation &amp; Closure</t>
  </si>
  <si>
    <t>Project Manager, Business Analyst</t>
  </si>
  <si>
    <t>A29</t>
  </si>
  <si>
    <t>User training and handover sessions</t>
  </si>
  <si>
    <t>Final business presentation preparation</t>
  </si>
  <si>
    <t>M5, A28</t>
  </si>
  <si>
    <t>Final presentation to ShopSmart leadership</t>
  </si>
  <si>
    <t>A29, A30</t>
  </si>
  <si>
    <t>Project closure, lessons learned and repository finalisation</t>
  </si>
  <si>
    <t>Milestone: Project Closed</t>
  </si>
  <si>
    <t>Planned project finish date</t>
  </si>
  <si>
    <t>Number of activities (excluding milestones)</t>
  </si>
  <si>
    <t>Number of milestones</t>
  </si>
  <si>
    <t>P5</t>
  </si>
  <si>
    <t>GENERATIVE AI</t>
  </si>
  <si>
    <t>P6</t>
  </si>
  <si>
    <t>TESTING &amp; QUALITY ASSURANCE</t>
  </si>
  <si>
    <t>P7</t>
  </si>
  <si>
    <t>DOCUMENTATION, PRESENTATION &amp;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</si>
</sst>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 mmm\ yyyy"/>
    <numFmt numFmtId="165" formatCode="dd\-mmm"/>
    <numFmt numFmtId="166" formatCode="dd\ mmm\ yy"/>
    <numFmt numFmtId="167" formatCode="\₦#,##0;&quot;(₦&quot;#,##0\);\-"/>
    <numFmt numFmtId="168" formatCode="0.0%"/>
  </numFmts>
  <fonts count="16" x14ac:knownFonts="1">
    <font>
      <sz val="11"/>
      <color theme="1"/>
      <name val="Calibri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rgb="FF0000FF"/>
      <name val="Arial"/>
    </font>
    <font>
      <sz val="10"/>
      <color theme="1"/>
      <name val="Arial"/>
    </font>
    <font>
      <sz val="10"/>
      <color rgb="FF0000FF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b/>
      <sz val="11"/>
      <color rgb="FF1F3864"/>
      <name val="Arial"/>
    </font>
    <font>
      <b/>
      <sz val="9"/>
      <color rgb="FF7F6000"/>
      <name val="Arial"/>
    </font>
    <font>
      <sz val="9"/>
      <color rgb="FF000000"/>
      <name val="Arial"/>
    </font>
    <font>
      <sz val="10"/>
      <color rgb="FF595959"/>
      <name val="Arial"/>
    </font>
    <font>
      <i/>
      <sz val="9"/>
      <color theme="1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/>
    <xf numFmtId="0" fontId="6" fillId="0" borderId="0" xfId="0" applyFont="1" applyAlignment="1"/>
    <xf numFmtId="0" fontId="6" fillId="0" borderId="1" xfId="0" applyFont="1" applyBorder="1" applyAlignment="1">
      <alignment horizontal="center" vertical="center"/>
    </xf>
    <xf numFmtId="164" fontId="7" fillId="0" borderId="0" xfId="0" applyNumberFormat="1" applyFont="1" applyAlignment="1"/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 vertical="center" textRotation="90"/>
    </xf>
    <xf numFmtId="0" fontId="7" fillId="0" borderId="0" xfId="0" applyFont="1" applyAlignment="1"/>
    <xf numFmtId="164" fontId="3" fillId="0" borderId="0" xfId="0" applyNumberFormat="1" applyFont="1" applyAlignment="1">
      <alignment horizontal="left"/>
    </xf>
    <xf numFmtId="0" fontId="6" fillId="3" borderId="2" xfId="0" applyFont="1" applyFill="1" applyBorder="1" applyAlignment="1"/>
    <xf numFmtId="164" fontId="6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9" fillId="2" borderId="1" xfId="0" applyFont="1" applyFill="1" applyBorder="1" applyAlignment="1">
      <alignment horizontal="left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/>
    </xf>
    <xf numFmtId="166" fontId="9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4" fillId="0" borderId="0" xfId="0" applyFont="1" applyAlignment="1"/>
    <xf numFmtId="0" fontId="15" fillId="0" borderId="0" xfId="0" applyFont="1" applyAlignment="1"/>
    <xf numFmtId="0" fontId="6" fillId="0" borderId="1" xfId="0" applyFont="1" applyBorder="1" applyAlignment="1"/>
    <xf numFmtId="167" fontId="6" fillId="0" borderId="1" xfId="0" applyNumberFormat="1" applyFont="1" applyBorder="1" applyAlignment="1"/>
    <xf numFmtId="168" fontId="6" fillId="0" borderId="1" xfId="0" applyNumberFormat="1" applyFont="1" applyBorder="1" applyAlignment="1"/>
    <xf numFmtId="9" fontId="5" fillId="3" borderId="2" xfId="0" applyNumberFormat="1" applyFont="1" applyFill="1" applyBorder="1" applyAlignment="1"/>
    <xf numFmtId="0" fontId="3" fillId="7" borderId="1" xfId="0" applyFont="1" applyFill="1" applyBorder="1" applyAlignment="1"/>
    <xf numFmtId="167" fontId="3" fillId="7" borderId="1" xfId="0" applyNumberFormat="1" applyFont="1" applyFill="1" applyBorder="1" applyAlignment="1"/>
    <xf numFmtId="168" fontId="3" fillId="7" borderId="1" xfId="0" applyNumberFormat="1" applyFont="1" applyFill="1" applyBorder="1" applyAlignment="1"/>
    <xf numFmtId="9" fontId="7" fillId="0" borderId="1" xfId="0" applyNumberFormat="1" applyFont="1" applyBorder="1" applyAlignment="1"/>
    <xf numFmtId="9" fontId="3" fillId="7" borderId="1" xfId="0" applyNumberFormat="1" applyFont="1" applyFill="1" applyBorder="1" applyAlignment="1"/>
    <xf numFmtId="0" fontId="6" fillId="0" borderId="1" xfId="0" applyFont="1" applyBorder="1" applyAlignment="1">
      <alignment vertical="center"/>
    </xf>
    <xf numFmtId="167" fontId="7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10" fillId="0" borderId="0" xfId="0" applyFont="1" applyAlignment="1"/>
    <xf numFmtId="164" fontId="3" fillId="0" borderId="0" xfId="0" applyNumberFormat="1" applyFont="1" applyAlignment="1"/>
  </cellXfs>
  <cellStyles count="1">
    <cellStyle name="Normal" xfId="0" builtinId="0"/>
  </cellStyles>
  <dxfs count="4">
    <dxf>
      <fill>
        <patternFill patternType="solid">
          <fgColor rgb="FF2E75B6"/>
          <bgColor rgb="FF2E75B6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1F3864"/>
          <bgColor rgb="FF1F3864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00"/>
  <sheetViews>
    <sheetView workbookViewId="0">
      <selection sqref="A1:A1048576"/>
    </sheetView>
  </sheetViews>
  <sheetFormatPr defaultColWidth="14.42578125" defaultRowHeight="15" customHeight="1" x14ac:dyDescent="0.25"/>
  <cols>
    <col min="1" max="1" width="3.28515625" customWidth="1"/>
    <col min="2" max="2" width="46" customWidth="1"/>
    <col min="3" max="3" width="70" customWidth="1"/>
    <col min="4" max="27" width="8.7109375" customWidth="1"/>
  </cols>
  <sheetData>
    <row r="1" spans="2:3" ht="18" x14ac:dyDescent="0.25">
      <c r="B1" s="2" t="s">
        <v>1</v>
      </c>
    </row>
    <row r="2" spans="2:3" x14ac:dyDescent="0.25">
      <c r="B2" s="3" t="s">
        <v>4</v>
      </c>
    </row>
    <row r="4" spans="2:3" x14ac:dyDescent="0.25">
      <c r="B4" s="4" t="s">
        <v>5</v>
      </c>
      <c r="C4" s="6">
        <v>46328</v>
      </c>
    </row>
    <row r="5" spans="2:3" x14ac:dyDescent="0.25">
      <c r="B5" s="7" t="s">
        <v>24</v>
      </c>
      <c r="C5" s="7" t="s">
        <v>27</v>
      </c>
    </row>
    <row r="6" spans="2:3" x14ac:dyDescent="0.25">
      <c r="B6" s="7" t="s">
        <v>29</v>
      </c>
      <c r="C6" s="7" t="s">
        <v>30</v>
      </c>
    </row>
    <row r="7" spans="2:3" x14ac:dyDescent="0.25">
      <c r="B7" s="7"/>
      <c r="C7" s="7"/>
    </row>
    <row r="8" spans="2:3" x14ac:dyDescent="0.25">
      <c r="B8" s="4" t="s">
        <v>31</v>
      </c>
      <c r="C8" s="7"/>
    </row>
    <row r="9" spans="2:3" x14ac:dyDescent="0.25">
      <c r="B9" s="7" t="s">
        <v>33</v>
      </c>
      <c r="C9" s="9">
        <v>46381</v>
      </c>
    </row>
    <row r="10" spans="2:3" x14ac:dyDescent="0.25">
      <c r="B10" s="7" t="s">
        <v>35</v>
      </c>
      <c r="C10" s="9">
        <v>46384</v>
      </c>
    </row>
    <row r="11" spans="2:3" x14ac:dyDescent="0.25">
      <c r="B11" s="7" t="s">
        <v>36</v>
      </c>
      <c r="C11" s="9">
        <v>46388</v>
      </c>
    </row>
    <row r="12" spans="2:3" x14ac:dyDescent="0.25">
      <c r="B12" s="7" t="s">
        <v>38</v>
      </c>
      <c r="C12" s="9">
        <v>46472</v>
      </c>
    </row>
    <row r="13" spans="2:3" x14ac:dyDescent="0.25">
      <c r="B13" s="7" t="s">
        <v>39</v>
      </c>
      <c r="C13" s="9">
        <v>46475</v>
      </c>
    </row>
    <row r="14" spans="2:3" x14ac:dyDescent="0.25">
      <c r="B14" s="7" t="s">
        <v>40</v>
      </c>
      <c r="C14" s="9">
        <v>46510</v>
      </c>
    </row>
    <row r="15" spans="2:3" x14ac:dyDescent="0.25">
      <c r="B15" s="7"/>
      <c r="C15" s="7"/>
    </row>
    <row r="16" spans="2:3" x14ac:dyDescent="0.25">
      <c r="B16" s="4" t="s">
        <v>41</v>
      </c>
      <c r="C16" s="7"/>
    </row>
    <row r="17" spans="2:3" x14ac:dyDescent="0.25">
      <c r="B17" s="15" t="s">
        <v>42</v>
      </c>
      <c r="C17" s="7" t="s">
        <v>43</v>
      </c>
    </row>
    <row r="18" spans="2:3" x14ac:dyDescent="0.25">
      <c r="B18" s="7" t="s">
        <v>44</v>
      </c>
      <c r="C18" s="7" t="s">
        <v>45</v>
      </c>
    </row>
    <row r="19" spans="2:3" x14ac:dyDescent="0.25">
      <c r="B19" s="17" t="s">
        <v>46</v>
      </c>
      <c r="C19" s="7" t="s">
        <v>48</v>
      </c>
    </row>
    <row r="21" spans="2:3" ht="15.75" customHeight="1" x14ac:dyDescent="0.25">
      <c r="B21" s="4" t="s">
        <v>49</v>
      </c>
    </row>
    <row r="22" spans="2:3" ht="15.75" customHeight="1" x14ac:dyDescent="0.25">
      <c r="B22" s="7" t="s">
        <v>50</v>
      </c>
    </row>
    <row r="23" spans="2:3" ht="15.75" customHeight="1" x14ac:dyDescent="0.25">
      <c r="B23" s="7" t="s">
        <v>51</v>
      </c>
    </row>
    <row r="24" spans="2:3" ht="15.75" customHeight="1" x14ac:dyDescent="0.25">
      <c r="B24" s="7" t="s">
        <v>52</v>
      </c>
    </row>
    <row r="25" spans="2:3" ht="15.75" customHeight="1" x14ac:dyDescent="0.25">
      <c r="B25" s="7" t="s">
        <v>53</v>
      </c>
    </row>
    <row r="26" spans="2:3" ht="15.75" customHeight="1" x14ac:dyDescent="0.25">
      <c r="B26" s="7" t="s">
        <v>54</v>
      </c>
    </row>
    <row r="27" spans="2:3" ht="15.75" customHeight="1" x14ac:dyDescent="0.25">
      <c r="B27" s="7" t="s">
        <v>55</v>
      </c>
    </row>
    <row r="28" spans="2:3" ht="15.75" customHeight="1" x14ac:dyDescent="0.25">
      <c r="B28" s="7" t="s">
        <v>56</v>
      </c>
    </row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5"/>
  <sheetViews>
    <sheetView workbookViewId="0">
      <pane xSplit="3" ySplit="4" topLeftCell="D5" activePane="bottomRight" state="frozen"/>
      <selection pane="topRight" activeCell="C1" sqref="C1"/>
      <selection pane="bottomLeft" activeCell="A5" sqref="A5"/>
      <selection pane="bottomRight" sqref="A1:A1048576"/>
    </sheetView>
  </sheetViews>
  <sheetFormatPr defaultColWidth="14.42578125" defaultRowHeight="15" customHeight="1" x14ac:dyDescent="0.25"/>
  <cols>
    <col min="1" max="1" width="3.28515625" customWidth="1"/>
    <col min="2" max="2" width="10" customWidth="1"/>
    <col min="3" max="3" width="52" customWidth="1"/>
    <col min="4" max="4" width="30" customWidth="1"/>
    <col min="5" max="5" width="11" customWidth="1"/>
    <col min="6" max="7" width="13" customWidth="1"/>
    <col min="8" max="8" width="18" customWidth="1"/>
    <col min="9" max="9" width="44" customWidth="1"/>
    <col min="10" max="15" width="10" customWidth="1"/>
    <col min="16" max="27" width="8.7109375" customWidth="1"/>
  </cols>
  <sheetData>
    <row r="1" spans="2:15" ht="18" x14ac:dyDescent="0.25">
      <c r="B1" s="1" t="s">
        <v>0</v>
      </c>
    </row>
    <row r="2" spans="2:15" x14ac:dyDescent="0.25">
      <c r="B2" s="3"/>
    </row>
    <row r="4" spans="2:15" ht="42" customHeight="1" x14ac:dyDescent="0.25">
      <c r="B4" s="5" t="s">
        <v>6</v>
      </c>
      <c r="C4" s="5" t="s">
        <v>9</v>
      </c>
      <c r="D4" s="5" t="s">
        <v>10</v>
      </c>
      <c r="E4" s="5" t="s">
        <v>12</v>
      </c>
      <c r="F4" s="5" t="s">
        <v>14</v>
      </c>
      <c r="G4" s="5" t="s">
        <v>15</v>
      </c>
      <c r="H4" s="5" t="s">
        <v>17</v>
      </c>
      <c r="I4" s="5" t="s">
        <v>18</v>
      </c>
      <c r="J4" s="5" t="s">
        <v>19</v>
      </c>
      <c r="K4" s="5" t="s">
        <v>21</v>
      </c>
      <c r="L4" s="5" t="s">
        <v>25</v>
      </c>
      <c r="M4" s="5" t="s">
        <v>26</v>
      </c>
      <c r="N4" s="5" t="s">
        <v>28</v>
      </c>
      <c r="O4" s="5" t="s">
        <v>20</v>
      </c>
    </row>
    <row r="5" spans="2:15" x14ac:dyDescent="0.25">
      <c r="B5" s="8" t="s">
        <v>32</v>
      </c>
      <c r="C5" s="10" t="s">
        <v>34</v>
      </c>
      <c r="D5" s="12" t="s">
        <v>37</v>
      </c>
      <c r="E5" s="13">
        <v>2</v>
      </c>
      <c r="F5" s="18">
        <f>WORKDAY(Assumptions!$C$4-1,J5+1,Assumptions!$C$9:$C$14)</f>
        <v>46328</v>
      </c>
      <c r="G5" s="18">
        <f>WORKDAY(Assumptions!$C$4-1,K5,Assumptions!$C$9:$C$14)</f>
        <v>46329</v>
      </c>
      <c r="H5" s="12" t="s">
        <v>58</v>
      </c>
      <c r="I5" s="10" t="s">
        <v>59</v>
      </c>
      <c r="J5" s="8">
        <v>0</v>
      </c>
      <c r="K5" s="8">
        <f t="shared" ref="K5:K7" si="0">J5+E5</f>
        <v>2</v>
      </c>
      <c r="L5" s="8">
        <f t="shared" ref="L5:L7" si="1">M5-E5</f>
        <v>0</v>
      </c>
      <c r="M5" s="8">
        <f>MIN(L6,L7)</f>
        <v>2</v>
      </c>
      <c r="N5" s="8">
        <f t="shared" ref="N5:N7" si="2">L5-J5</f>
        <v>0</v>
      </c>
      <c r="O5" s="8" t="str">
        <f t="shared" ref="O5:O7" si="3">IF(N5=0,"Yes","No")</f>
        <v>Yes</v>
      </c>
    </row>
    <row r="6" spans="2:15" ht="25.5" x14ac:dyDescent="0.25">
      <c r="B6" s="8" t="s">
        <v>61</v>
      </c>
      <c r="C6" s="10" t="s">
        <v>62</v>
      </c>
      <c r="D6" s="12" t="s">
        <v>37</v>
      </c>
      <c r="E6" s="13">
        <v>3</v>
      </c>
      <c r="F6" s="18">
        <f>WORKDAY(Assumptions!$C$4-1,J6+1,Assumptions!$C$9:$C$14)</f>
        <v>46330</v>
      </c>
      <c r="G6" s="18">
        <f>WORKDAY(Assumptions!$C$4-1,K6,Assumptions!$C$9:$C$14)</f>
        <v>46332</v>
      </c>
      <c r="H6" s="12" t="s">
        <v>32</v>
      </c>
      <c r="I6" s="10" t="s">
        <v>67</v>
      </c>
      <c r="J6" s="8">
        <f>MAX(K5)</f>
        <v>2</v>
      </c>
      <c r="K6" s="8">
        <f t="shared" si="0"/>
        <v>5</v>
      </c>
      <c r="L6" s="8">
        <f t="shared" si="1"/>
        <v>3</v>
      </c>
      <c r="M6" s="8">
        <f>MIN(L9)</f>
        <v>6</v>
      </c>
      <c r="N6" s="8">
        <f t="shared" si="2"/>
        <v>1</v>
      </c>
      <c r="O6" s="8" t="str">
        <f t="shared" si="3"/>
        <v>No</v>
      </c>
    </row>
    <row r="7" spans="2:15" ht="25.5" x14ac:dyDescent="0.25">
      <c r="B7" s="8" t="s">
        <v>70</v>
      </c>
      <c r="C7" s="10" t="s">
        <v>71</v>
      </c>
      <c r="D7" s="12" t="s">
        <v>37</v>
      </c>
      <c r="E7" s="13">
        <v>4</v>
      </c>
      <c r="F7" s="18">
        <f>WORKDAY(Assumptions!$C$4-1,J7+1,Assumptions!$C$9:$C$14)</f>
        <v>46330</v>
      </c>
      <c r="G7" s="18">
        <f>WORKDAY(Assumptions!$C$4-1,K7,Assumptions!$C$9:$C$14)</f>
        <v>46335</v>
      </c>
      <c r="H7" s="12" t="s">
        <v>32</v>
      </c>
      <c r="I7" s="10" t="s">
        <v>72</v>
      </c>
      <c r="J7" s="8">
        <f>MAX(K5)</f>
        <v>2</v>
      </c>
      <c r="K7" s="8">
        <f t="shared" si="0"/>
        <v>6</v>
      </c>
      <c r="L7" s="8">
        <f t="shared" si="1"/>
        <v>2</v>
      </c>
      <c r="M7" s="8">
        <f>MIN(L9)</f>
        <v>6</v>
      </c>
      <c r="N7" s="8">
        <f t="shared" si="2"/>
        <v>0</v>
      </c>
      <c r="O7" s="8" t="str">
        <f t="shared" si="3"/>
        <v>Yes</v>
      </c>
    </row>
    <row r="8" spans="2:15" x14ac:dyDescent="0.25">
      <c r="B8" s="26"/>
      <c r="C8" s="27"/>
      <c r="D8" s="28"/>
      <c r="E8" s="29"/>
      <c r="F8" s="30"/>
      <c r="G8" s="30"/>
      <c r="H8" s="28"/>
      <c r="I8" s="27"/>
      <c r="J8" s="26"/>
      <c r="K8" s="26"/>
      <c r="L8" s="26"/>
      <c r="M8" s="26"/>
      <c r="N8" s="26"/>
      <c r="O8" s="26"/>
    </row>
    <row r="9" spans="2:15" x14ac:dyDescent="0.25">
      <c r="B9" s="26" t="s">
        <v>73</v>
      </c>
      <c r="C9" s="27" t="s">
        <v>74</v>
      </c>
      <c r="D9" s="28" t="s">
        <v>37</v>
      </c>
      <c r="E9" s="29">
        <v>0</v>
      </c>
      <c r="F9" s="30">
        <f>G9</f>
        <v>46335</v>
      </c>
      <c r="G9" s="30">
        <f>WORKDAY(Assumptions!$C$4-1,K9,Assumptions!$C$9:$C$14)</f>
        <v>46335</v>
      </c>
      <c r="H9" s="28" t="s">
        <v>75</v>
      </c>
      <c r="I9" s="27" t="s">
        <v>59</v>
      </c>
      <c r="J9" s="26">
        <f>MAX(K6,K7)</f>
        <v>6</v>
      </c>
      <c r="K9" s="26">
        <f t="shared" ref="K9:K13" si="4">J9+E9</f>
        <v>6</v>
      </c>
      <c r="L9" s="26">
        <f t="shared" ref="L9:L13" si="5">M9-E9</f>
        <v>6</v>
      </c>
      <c r="M9" s="26">
        <f>MIN(L10,L13)</f>
        <v>6</v>
      </c>
      <c r="N9" s="26">
        <f t="shared" ref="N9:N13" si="6">L9-J9</f>
        <v>0</v>
      </c>
      <c r="O9" s="26" t="str">
        <f t="shared" ref="O9:O13" si="7">IF(N9=0,"Yes","No")</f>
        <v>Yes</v>
      </c>
    </row>
    <row r="10" spans="2:15" x14ac:dyDescent="0.25">
      <c r="B10" s="8" t="s">
        <v>81</v>
      </c>
      <c r="C10" s="10" t="s">
        <v>83</v>
      </c>
      <c r="D10" s="12" t="s">
        <v>84</v>
      </c>
      <c r="E10" s="13">
        <v>5</v>
      </c>
      <c r="F10" s="18">
        <f>WORKDAY(Assumptions!$C$4-1,J10+1,Assumptions!$C$9:$C$14)</f>
        <v>46336</v>
      </c>
      <c r="G10" s="18">
        <f>WORKDAY(Assumptions!$C$4-1,K10,Assumptions!$C$9:$C$14)</f>
        <v>46342</v>
      </c>
      <c r="H10" s="12" t="s">
        <v>73</v>
      </c>
      <c r="I10" s="10" t="s">
        <v>88</v>
      </c>
      <c r="J10" s="8">
        <f t="shared" ref="J10:J12" si="8">MAX(K9)</f>
        <v>6</v>
      </c>
      <c r="K10" s="8">
        <f t="shared" si="4"/>
        <v>11</v>
      </c>
      <c r="L10" s="8">
        <f t="shared" si="5"/>
        <v>6</v>
      </c>
      <c r="M10" s="8">
        <f t="shared" ref="M10:M11" si="9">MIN(L11)</f>
        <v>11</v>
      </c>
      <c r="N10" s="8">
        <f t="shared" si="6"/>
        <v>0</v>
      </c>
      <c r="O10" s="8" t="str">
        <f t="shared" si="7"/>
        <v>Yes</v>
      </c>
    </row>
    <row r="11" spans="2:15" x14ac:dyDescent="0.25">
      <c r="B11" s="8" t="s">
        <v>89</v>
      </c>
      <c r="C11" s="10" t="s">
        <v>90</v>
      </c>
      <c r="D11" s="12" t="s">
        <v>84</v>
      </c>
      <c r="E11" s="13">
        <v>8</v>
      </c>
      <c r="F11" s="18">
        <f>WORKDAY(Assumptions!$C$4-1,J11+1,Assumptions!$C$9:$C$14)</f>
        <v>46343</v>
      </c>
      <c r="G11" s="18">
        <f>WORKDAY(Assumptions!$C$4-1,K11,Assumptions!$C$9:$C$14)</f>
        <v>46352</v>
      </c>
      <c r="H11" s="12" t="s">
        <v>81</v>
      </c>
      <c r="I11" s="10" t="s">
        <v>88</v>
      </c>
      <c r="J11" s="8">
        <f t="shared" si="8"/>
        <v>11</v>
      </c>
      <c r="K11" s="8">
        <f t="shared" si="4"/>
        <v>19</v>
      </c>
      <c r="L11" s="8">
        <f t="shared" si="5"/>
        <v>11</v>
      </c>
      <c r="M11" s="8">
        <f t="shared" si="9"/>
        <v>19</v>
      </c>
      <c r="N11" s="8">
        <f t="shared" si="6"/>
        <v>0</v>
      </c>
      <c r="O11" s="8" t="str">
        <f t="shared" si="7"/>
        <v>Yes</v>
      </c>
    </row>
    <row r="12" spans="2:15" x14ac:dyDescent="0.25">
      <c r="B12" s="8" t="s">
        <v>96</v>
      </c>
      <c r="C12" s="10" t="s">
        <v>98</v>
      </c>
      <c r="D12" s="12" t="s">
        <v>84</v>
      </c>
      <c r="E12" s="13">
        <v>4</v>
      </c>
      <c r="F12" s="18">
        <f>WORKDAY(Assumptions!$C$4-1,J12+1,Assumptions!$C$9:$C$14)</f>
        <v>46353</v>
      </c>
      <c r="G12" s="18">
        <f>WORKDAY(Assumptions!$C$4-1,K12,Assumptions!$C$9:$C$14)</f>
        <v>46358</v>
      </c>
      <c r="H12" s="12" t="s">
        <v>89</v>
      </c>
      <c r="I12" s="10" t="s">
        <v>102</v>
      </c>
      <c r="J12" s="8">
        <f t="shared" si="8"/>
        <v>19</v>
      </c>
      <c r="K12" s="8">
        <f t="shared" si="4"/>
        <v>23</v>
      </c>
      <c r="L12" s="8">
        <f t="shared" si="5"/>
        <v>19</v>
      </c>
      <c r="M12" s="8">
        <f>MIN(L15)</f>
        <v>23</v>
      </c>
      <c r="N12" s="8">
        <f t="shared" si="6"/>
        <v>0</v>
      </c>
      <c r="O12" s="8" t="str">
        <f t="shared" si="7"/>
        <v>Yes</v>
      </c>
    </row>
    <row r="13" spans="2:15" x14ac:dyDescent="0.25">
      <c r="B13" s="8" t="s">
        <v>103</v>
      </c>
      <c r="C13" s="10" t="s">
        <v>104</v>
      </c>
      <c r="D13" s="12" t="s">
        <v>84</v>
      </c>
      <c r="E13" s="13">
        <v>6</v>
      </c>
      <c r="F13" s="18">
        <f>WORKDAY(Assumptions!$C$4-1,J13+1,Assumptions!$C$9:$C$14)</f>
        <v>46336</v>
      </c>
      <c r="G13" s="18">
        <f>WORKDAY(Assumptions!$C$4-1,K13,Assumptions!$C$9:$C$14)</f>
        <v>46343</v>
      </c>
      <c r="H13" s="12" t="s">
        <v>73</v>
      </c>
      <c r="I13" s="10" t="s">
        <v>109</v>
      </c>
      <c r="J13" s="8">
        <f>MAX(K9)</f>
        <v>6</v>
      </c>
      <c r="K13" s="8">
        <f t="shared" si="4"/>
        <v>12</v>
      </c>
      <c r="L13" s="8">
        <f t="shared" si="5"/>
        <v>17</v>
      </c>
      <c r="M13" s="8">
        <f>MIN(L15)</f>
        <v>23</v>
      </c>
      <c r="N13" s="8">
        <f t="shared" si="6"/>
        <v>11</v>
      </c>
      <c r="O13" s="8" t="str">
        <f t="shared" si="7"/>
        <v>No</v>
      </c>
    </row>
    <row r="14" spans="2:15" x14ac:dyDescent="0.25">
      <c r="B14" s="26"/>
      <c r="C14" s="27"/>
      <c r="D14" s="28"/>
      <c r="E14" s="29"/>
      <c r="F14" s="30"/>
      <c r="G14" s="30"/>
      <c r="H14" s="28"/>
      <c r="I14" s="27"/>
      <c r="J14" s="26"/>
      <c r="K14" s="26"/>
      <c r="L14" s="26"/>
      <c r="M14" s="26"/>
      <c r="N14" s="26"/>
      <c r="O14" s="26"/>
    </row>
    <row r="15" spans="2:15" x14ac:dyDescent="0.25">
      <c r="B15" s="26" t="s">
        <v>115</v>
      </c>
      <c r="C15" s="27" t="s">
        <v>116</v>
      </c>
      <c r="D15" s="28" t="s">
        <v>84</v>
      </c>
      <c r="E15" s="29">
        <v>0</v>
      </c>
      <c r="F15" s="30">
        <f>G15</f>
        <v>46358</v>
      </c>
      <c r="G15" s="30">
        <f>WORKDAY(Assumptions!$C$4-1,K15,Assumptions!$C$9:$C$14)</f>
        <v>46358</v>
      </c>
      <c r="H15" s="28" t="s">
        <v>121</v>
      </c>
      <c r="I15" s="27" t="s">
        <v>59</v>
      </c>
      <c r="J15" s="26">
        <f>MAX(K12,K13)</f>
        <v>23</v>
      </c>
      <c r="K15" s="26">
        <f t="shared" ref="K15:K22" si="10">J15+E15</f>
        <v>23</v>
      </c>
      <c r="L15" s="26">
        <f t="shared" ref="L15:L22" si="11">M15-E15</f>
        <v>23</v>
      </c>
      <c r="M15" s="26">
        <f>MIN(L16,L17,L18,L29)</f>
        <v>23</v>
      </c>
      <c r="N15" s="26">
        <f t="shared" ref="N15:N22" si="12">L15-J15</f>
        <v>0</v>
      </c>
      <c r="O15" s="26" t="str">
        <f t="shared" ref="O15:O22" si="13">IF(N15=0,"Yes","No")</f>
        <v>Yes</v>
      </c>
    </row>
    <row r="16" spans="2:15" x14ac:dyDescent="0.25">
      <c r="B16" s="8" t="s">
        <v>167</v>
      </c>
      <c r="C16" s="10" t="s">
        <v>170</v>
      </c>
      <c r="D16" s="12" t="s">
        <v>172</v>
      </c>
      <c r="E16" s="13">
        <v>7</v>
      </c>
      <c r="F16" s="18">
        <f>WORKDAY(Assumptions!$C$4-1,J16+1,Assumptions!$C$9:$C$14)</f>
        <v>46359</v>
      </c>
      <c r="G16" s="18">
        <f>WORKDAY(Assumptions!$C$4-1,K16,Assumptions!$C$9:$C$14)</f>
        <v>46367</v>
      </c>
      <c r="H16" s="12" t="s">
        <v>115</v>
      </c>
      <c r="I16" s="10" t="s">
        <v>101</v>
      </c>
      <c r="J16" s="8">
        <f>MAX(K15)</f>
        <v>23</v>
      </c>
      <c r="K16" s="8">
        <f t="shared" si="10"/>
        <v>30</v>
      </c>
      <c r="L16" s="8">
        <f t="shared" si="11"/>
        <v>23</v>
      </c>
      <c r="M16" s="8">
        <f>MIN(L22)</f>
        <v>30</v>
      </c>
      <c r="N16" s="8">
        <f t="shared" si="12"/>
        <v>0</v>
      </c>
      <c r="O16" s="8" t="str">
        <f t="shared" si="13"/>
        <v>Yes</v>
      </c>
    </row>
    <row r="17" spans="2:15" x14ac:dyDescent="0.25">
      <c r="B17" s="8" t="s">
        <v>201</v>
      </c>
      <c r="C17" s="10" t="s">
        <v>202</v>
      </c>
      <c r="D17" s="12" t="s">
        <v>172</v>
      </c>
      <c r="E17" s="13">
        <v>8</v>
      </c>
      <c r="F17" s="18">
        <f>WORKDAY(Assumptions!$C$4-1,J17+1,Assumptions!$C$9:$C$14)</f>
        <v>46359</v>
      </c>
      <c r="G17" s="18">
        <f>WORKDAY(Assumptions!$C$4-1,K17,Assumptions!$C$9:$C$14)</f>
        <v>46370</v>
      </c>
      <c r="H17" s="12" t="s">
        <v>115</v>
      </c>
      <c r="I17" s="10" t="s">
        <v>97</v>
      </c>
      <c r="J17" s="8">
        <f>MAX(K15)</f>
        <v>23</v>
      </c>
      <c r="K17" s="8">
        <f t="shared" si="10"/>
        <v>31</v>
      </c>
      <c r="L17" s="8">
        <f t="shared" si="11"/>
        <v>41</v>
      </c>
      <c r="M17" s="8">
        <f t="shared" ref="M17:M19" si="14">MIN(L19)</f>
        <v>49</v>
      </c>
      <c r="N17" s="8">
        <f t="shared" si="12"/>
        <v>18</v>
      </c>
      <c r="O17" s="8" t="str">
        <f t="shared" si="13"/>
        <v>No</v>
      </c>
    </row>
    <row r="18" spans="2:15" x14ac:dyDescent="0.25">
      <c r="B18" s="8" t="s">
        <v>209</v>
      </c>
      <c r="C18" s="10" t="s">
        <v>210</v>
      </c>
      <c r="D18" s="12" t="s">
        <v>172</v>
      </c>
      <c r="E18" s="13">
        <v>7</v>
      </c>
      <c r="F18" s="18">
        <f>WORKDAY(Assumptions!$C$4-1,J18+1,Assumptions!$C$9:$C$14)</f>
        <v>46359</v>
      </c>
      <c r="G18" s="18">
        <f>WORKDAY(Assumptions!$C$4-1,K18,Assumptions!$C$9:$C$14)</f>
        <v>46367</v>
      </c>
      <c r="H18" s="12" t="s">
        <v>115</v>
      </c>
      <c r="I18" s="10" t="s">
        <v>97</v>
      </c>
      <c r="J18" s="8">
        <f>MAX(K15)</f>
        <v>23</v>
      </c>
      <c r="K18" s="8">
        <f t="shared" si="10"/>
        <v>30</v>
      </c>
      <c r="L18" s="8">
        <f t="shared" si="11"/>
        <v>42</v>
      </c>
      <c r="M18" s="8">
        <f t="shared" si="14"/>
        <v>49</v>
      </c>
      <c r="N18" s="8">
        <f t="shared" si="12"/>
        <v>19</v>
      </c>
      <c r="O18" s="8" t="str">
        <f t="shared" si="13"/>
        <v>No</v>
      </c>
    </row>
    <row r="19" spans="2:15" x14ac:dyDescent="0.25">
      <c r="B19" s="8" t="s">
        <v>211</v>
      </c>
      <c r="C19" s="10" t="s">
        <v>212</v>
      </c>
      <c r="D19" s="12" t="s">
        <v>172</v>
      </c>
      <c r="E19" s="13">
        <v>6</v>
      </c>
      <c r="F19" s="18">
        <f>WORKDAY(Assumptions!$C$4-1,J19+1,Assumptions!$C$9:$C$14)</f>
        <v>46371</v>
      </c>
      <c r="G19" s="18">
        <f>WORKDAY(Assumptions!$C$4-1,K19,Assumptions!$C$9:$C$14)</f>
        <v>46378</v>
      </c>
      <c r="H19" s="12" t="s">
        <v>201</v>
      </c>
      <c r="I19" s="10" t="s">
        <v>97</v>
      </c>
      <c r="J19" s="8">
        <f t="shared" ref="J19:J20" si="15">MAX(K17)</f>
        <v>31</v>
      </c>
      <c r="K19" s="8">
        <f t="shared" si="10"/>
        <v>37</v>
      </c>
      <c r="L19" s="8">
        <f t="shared" si="11"/>
        <v>49</v>
      </c>
      <c r="M19" s="8">
        <f t="shared" si="14"/>
        <v>55</v>
      </c>
      <c r="N19" s="8">
        <f t="shared" si="12"/>
        <v>18</v>
      </c>
      <c r="O19" s="8" t="str">
        <f t="shared" si="13"/>
        <v>No</v>
      </c>
    </row>
    <row r="20" spans="2:15" x14ac:dyDescent="0.25">
      <c r="B20" s="8" t="s">
        <v>213</v>
      </c>
      <c r="C20" s="10" t="s">
        <v>214</v>
      </c>
      <c r="D20" s="12" t="s">
        <v>172</v>
      </c>
      <c r="E20" s="13">
        <v>6</v>
      </c>
      <c r="F20" s="18">
        <f>WORKDAY(Assumptions!$C$4-1,J20+1,Assumptions!$C$9:$C$14)</f>
        <v>46370</v>
      </c>
      <c r="G20" s="18">
        <f>WORKDAY(Assumptions!$C$4-1,K20,Assumptions!$C$9:$C$14)</f>
        <v>46377</v>
      </c>
      <c r="H20" s="12" t="s">
        <v>209</v>
      </c>
      <c r="I20" s="10" t="s">
        <v>97</v>
      </c>
      <c r="J20" s="8">
        <f t="shared" si="15"/>
        <v>30</v>
      </c>
      <c r="K20" s="8">
        <f t="shared" si="10"/>
        <v>36</v>
      </c>
      <c r="L20" s="8">
        <f t="shared" si="11"/>
        <v>49</v>
      </c>
      <c r="M20" s="8">
        <f>MIN(L21)</f>
        <v>55</v>
      </c>
      <c r="N20" s="8">
        <f t="shared" si="12"/>
        <v>19</v>
      </c>
      <c r="O20" s="8" t="str">
        <f t="shared" si="13"/>
        <v>No</v>
      </c>
    </row>
    <row r="21" spans="2:15" x14ac:dyDescent="0.25">
      <c r="B21" s="8" t="s">
        <v>216</v>
      </c>
      <c r="C21" s="10" t="s">
        <v>217</v>
      </c>
      <c r="D21" s="12" t="s">
        <v>172</v>
      </c>
      <c r="E21" s="13">
        <v>4</v>
      </c>
      <c r="F21" s="18">
        <f>WORKDAY(Assumptions!$C$4-1,J21+1,Assumptions!$C$9:$C$14)</f>
        <v>46379</v>
      </c>
      <c r="G21" s="18">
        <f>WORKDAY(Assumptions!$C$4-1,K21,Assumptions!$C$9:$C$14)</f>
        <v>46386</v>
      </c>
      <c r="H21" s="12" t="s">
        <v>218</v>
      </c>
      <c r="I21" s="10" t="s">
        <v>72</v>
      </c>
      <c r="J21" s="8">
        <f>MAX(K19,K20)</f>
        <v>37</v>
      </c>
      <c r="K21" s="8">
        <f t="shared" si="10"/>
        <v>41</v>
      </c>
      <c r="L21" s="8">
        <f t="shared" si="11"/>
        <v>55</v>
      </c>
      <c r="M21" s="8">
        <f>MIN(L24)</f>
        <v>59</v>
      </c>
      <c r="N21" s="8">
        <f t="shared" si="12"/>
        <v>18</v>
      </c>
      <c r="O21" s="8" t="str">
        <f t="shared" si="13"/>
        <v>No</v>
      </c>
    </row>
    <row r="22" spans="2:15" x14ac:dyDescent="0.25">
      <c r="B22" s="8" t="s">
        <v>215</v>
      </c>
      <c r="C22" s="10" t="s">
        <v>220</v>
      </c>
      <c r="D22" s="12" t="s">
        <v>172</v>
      </c>
      <c r="E22" s="13">
        <v>8</v>
      </c>
      <c r="F22" s="18">
        <f>WORKDAY(Assumptions!$C$4-1,J22+1,Assumptions!$C$9:$C$14)</f>
        <v>46370</v>
      </c>
      <c r="G22" s="18">
        <f>WORKDAY(Assumptions!$C$4-1,K22,Assumptions!$C$9:$C$14)</f>
        <v>46379</v>
      </c>
      <c r="H22" s="12" t="s">
        <v>167</v>
      </c>
      <c r="I22" s="10" t="s">
        <v>101</v>
      </c>
      <c r="J22" s="8">
        <f>MAX(K16)</f>
        <v>30</v>
      </c>
      <c r="K22" s="8">
        <f t="shared" si="10"/>
        <v>38</v>
      </c>
      <c r="L22" s="8">
        <f t="shared" si="11"/>
        <v>30</v>
      </c>
      <c r="M22" s="8">
        <f>MIN(L24,L25,L26)</f>
        <v>38</v>
      </c>
      <c r="N22" s="8">
        <f t="shared" si="12"/>
        <v>0</v>
      </c>
      <c r="O22" s="8" t="str">
        <f t="shared" si="13"/>
        <v>Yes</v>
      </c>
    </row>
    <row r="23" spans="2:15" ht="15.75" customHeight="1" x14ac:dyDescent="0.25">
      <c r="B23" s="26"/>
      <c r="C23" s="27"/>
      <c r="D23" s="28"/>
      <c r="E23" s="29"/>
      <c r="F23" s="30"/>
      <c r="G23" s="30"/>
      <c r="H23" s="28"/>
      <c r="I23" s="27"/>
      <c r="J23" s="26"/>
      <c r="K23" s="26"/>
      <c r="L23" s="26"/>
      <c r="M23" s="26"/>
      <c r="N23" s="26"/>
      <c r="O23" s="26"/>
    </row>
    <row r="24" spans="2:15" ht="15.75" customHeight="1" x14ac:dyDescent="0.25">
      <c r="B24" s="26" t="s">
        <v>223</v>
      </c>
      <c r="C24" s="27" t="s">
        <v>224</v>
      </c>
      <c r="D24" s="28" t="s">
        <v>172</v>
      </c>
      <c r="E24" s="29">
        <v>0</v>
      </c>
      <c r="F24" s="30">
        <f>G24</f>
        <v>46386</v>
      </c>
      <c r="G24" s="30">
        <f>WORKDAY(Assumptions!$C$4-1,K24,Assumptions!$C$9:$C$14)</f>
        <v>46386</v>
      </c>
      <c r="H24" s="28" t="s">
        <v>226</v>
      </c>
      <c r="I24" s="27" t="s">
        <v>59</v>
      </c>
      <c r="J24" s="26">
        <f>MAX(K21,K22)</f>
        <v>41</v>
      </c>
      <c r="K24" s="26">
        <f t="shared" ref="K24:K32" si="16">J24+E24</f>
        <v>41</v>
      </c>
      <c r="L24" s="26">
        <f t="shared" ref="L24:L32" si="17">M24-E24</f>
        <v>59</v>
      </c>
      <c r="M24" s="26">
        <f>MIN(L34)</f>
        <v>59</v>
      </c>
      <c r="N24" s="26">
        <f t="shared" ref="N24:N32" si="18">L24-J24</f>
        <v>18</v>
      </c>
      <c r="O24" s="26" t="str">
        <f t="shared" ref="O24:O32" si="19">IF(N24=0,"Yes","No")</f>
        <v>No</v>
      </c>
    </row>
    <row r="25" spans="2:15" ht="15.75" customHeight="1" x14ac:dyDescent="0.25">
      <c r="B25" s="8" t="s">
        <v>227</v>
      </c>
      <c r="C25" s="10" t="s">
        <v>228</v>
      </c>
      <c r="D25" s="12" t="s">
        <v>229</v>
      </c>
      <c r="E25" s="13">
        <v>12</v>
      </c>
      <c r="F25" s="18">
        <f>WORKDAY(Assumptions!$C$4-1,J25+1,Assumptions!$C$9:$C$14)</f>
        <v>46380</v>
      </c>
      <c r="G25" s="18">
        <f>WORKDAY(Assumptions!$C$4-1,K25,Assumptions!$C$9:$C$14)</f>
        <v>46400</v>
      </c>
      <c r="H25" s="12" t="s">
        <v>215</v>
      </c>
      <c r="I25" s="10" t="s">
        <v>107</v>
      </c>
      <c r="J25" s="8">
        <f>MAX(K22)</f>
        <v>38</v>
      </c>
      <c r="K25" s="8">
        <f t="shared" si="16"/>
        <v>50</v>
      </c>
      <c r="L25" s="8">
        <f t="shared" si="17"/>
        <v>42</v>
      </c>
      <c r="M25" s="8">
        <f>MIN(L28,L32)</f>
        <v>54</v>
      </c>
      <c r="N25" s="8">
        <f t="shared" si="18"/>
        <v>4</v>
      </c>
      <c r="O25" s="8" t="str">
        <f t="shared" si="19"/>
        <v>No</v>
      </c>
    </row>
    <row r="26" spans="2:15" ht="15.75" customHeight="1" x14ac:dyDescent="0.25">
      <c r="B26" s="8" t="s">
        <v>219</v>
      </c>
      <c r="C26" s="10" t="s">
        <v>239</v>
      </c>
      <c r="D26" s="12" t="s">
        <v>229</v>
      </c>
      <c r="E26" s="13">
        <v>8</v>
      </c>
      <c r="F26" s="18">
        <f>WORKDAY(Assumptions!$C$4-1,J26+1,Assumptions!$C$9:$C$14)</f>
        <v>46380</v>
      </c>
      <c r="G26" s="18">
        <f>WORKDAY(Assumptions!$C$4-1,K26,Assumptions!$C$9:$C$14)</f>
        <v>46394</v>
      </c>
      <c r="H26" s="12" t="s">
        <v>215</v>
      </c>
      <c r="I26" s="10" t="s">
        <v>101</v>
      </c>
      <c r="J26" s="8">
        <f>MAX(K22)</f>
        <v>38</v>
      </c>
      <c r="K26" s="8">
        <f t="shared" si="16"/>
        <v>46</v>
      </c>
      <c r="L26" s="8">
        <f t="shared" si="17"/>
        <v>38</v>
      </c>
      <c r="M26" s="8">
        <f t="shared" ref="M26:M27" si="20">MIN(L27)</f>
        <v>46</v>
      </c>
      <c r="N26" s="8">
        <f t="shared" si="18"/>
        <v>0</v>
      </c>
      <c r="O26" s="8" t="str">
        <f t="shared" si="19"/>
        <v>Yes</v>
      </c>
    </row>
    <row r="27" spans="2:15" ht="15.75" customHeight="1" x14ac:dyDescent="0.25">
      <c r="B27" s="8" t="s">
        <v>225</v>
      </c>
      <c r="C27" s="10" t="s">
        <v>240</v>
      </c>
      <c r="D27" s="12" t="s">
        <v>229</v>
      </c>
      <c r="E27" s="13">
        <v>8</v>
      </c>
      <c r="F27" s="18">
        <f>WORKDAY(Assumptions!$C$4-1,J27+1,Assumptions!$C$9:$C$14)</f>
        <v>46395</v>
      </c>
      <c r="G27" s="18">
        <f>WORKDAY(Assumptions!$C$4-1,K27,Assumptions!$C$9:$C$14)</f>
        <v>46406</v>
      </c>
      <c r="H27" s="12" t="s">
        <v>219</v>
      </c>
      <c r="I27" s="10" t="s">
        <v>242</v>
      </c>
      <c r="J27" s="8">
        <f>MAX(K26)</f>
        <v>46</v>
      </c>
      <c r="K27" s="8">
        <f t="shared" si="16"/>
        <v>54</v>
      </c>
      <c r="L27" s="8">
        <f t="shared" si="17"/>
        <v>46</v>
      </c>
      <c r="M27" s="8">
        <f t="shared" si="20"/>
        <v>54</v>
      </c>
      <c r="N27" s="8">
        <f t="shared" si="18"/>
        <v>0</v>
      </c>
      <c r="O27" s="8" t="str">
        <f t="shared" si="19"/>
        <v>Yes</v>
      </c>
    </row>
    <row r="28" spans="2:15" ht="15.75" customHeight="1" x14ac:dyDescent="0.25">
      <c r="B28" s="8" t="s">
        <v>238</v>
      </c>
      <c r="C28" s="10" t="s">
        <v>244</v>
      </c>
      <c r="D28" s="12" t="s">
        <v>229</v>
      </c>
      <c r="E28" s="13">
        <v>5</v>
      </c>
      <c r="F28" s="18">
        <f>WORKDAY(Assumptions!$C$4-1,J28+1,Assumptions!$C$9:$C$14)</f>
        <v>46407</v>
      </c>
      <c r="G28" s="18">
        <f>WORKDAY(Assumptions!$C$4-1,K28,Assumptions!$C$9:$C$14)</f>
        <v>46413</v>
      </c>
      <c r="H28" s="12" t="s">
        <v>249</v>
      </c>
      <c r="I28" s="10" t="s">
        <v>250</v>
      </c>
      <c r="J28" s="8">
        <f>MAX(K25,K27)</f>
        <v>54</v>
      </c>
      <c r="K28" s="8">
        <f t="shared" si="16"/>
        <v>59</v>
      </c>
      <c r="L28" s="8">
        <f t="shared" si="17"/>
        <v>54</v>
      </c>
      <c r="M28" s="8">
        <f>MIN(L34)</f>
        <v>59</v>
      </c>
      <c r="N28" s="8">
        <f t="shared" si="18"/>
        <v>0</v>
      </c>
      <c r="O28" s="8" t="str">
        <f t="shared" si="19"/>
        <v>Yes</v>
      </c>
    </row>
    <row r="29" spans="2:15" ht="15.75" customHeight="1" x14ac:dyDescent="0.25">
      <c r="B29" s="8" t="s">
        <v>253</v>
      </c>
      <c r="C29" s="10" t="s">
        <v>254</v>
      </c>
      <c r="D29" s="12" t="s">
        <v>255</v>
      </c>
      <c r="E29" s="13">
        <v>8</v>
      </c>
      <c r="F29" s="18">
        <f>WORKDAY(Assumptions!$C$4-1,J29+1,Assumptions!$C$9:$C$14)</f>
        <v>46359</v>
      </c>
      <c r="G29" s="18">
        <f>WORKDAY(Assumptions!$C$4-1,K29,Assumptions!$C$9:$C$14)</f>
        <v>46370</v>
      </c>
      <c r="H29" s="12" t="s">
        <v>115</v>
      </c>
      <c r="I29" s="10" t="s">
        <v>111</v>
      </c>
      <c r="J29" s="8">
        <f>MAX(K15)</f>
        <v>23</v>
      </c>
      <c r="K29" s="8">
        <f t="shared" si="16"/>
        <v>31</v>
      </c>
      <c r="L29" s="8">
        <f t="shared" si="17"/>
        <v>27</v>
      </c>
      <c r="M29" s="8">
        <f t="shared" ref="M29:M31" si="21">MIN(L30)</f>
        <v>35</v>
      </c>
      <c r="N29" s="8">
        <f t="shared" si="18"/>
        <v>4</v>
      </c>
      <c r="O29" s="8" t="str">
        <f t="shared" si="19"/>
        <v>No</v>
      </c>
    </row>
    <row r="30" spans="2:15" ht="15.75" customHeight="1" x14ac:dyDescent="0.25">
      <c r="B30" s="8" t="s">
        <v>260</v>
      </c>
      <c r="C30" s="10" t="s">
        <v>261</v>
      </c>
      <c r="D30" s="12" t="s">
        <v>255</v>
      </c>
      <c r="E30" s="13">
        <v>7</v>
      </c>
      <c r="F30" s="18">
        <f>WORKDAY(Assumptions!$C$4-1,J30+1,Assumptions!$C$9:$C$14)</f>
        <v>46371</v>
      </c>
      <c r="G30" s="18">
        <f>WORKDAY(Assumptions!$C$4-1,K30,Assumptions!$C$9:$C$14)</f>
        <v>46379</v>
      </c>
      <c r="H30" s="12" t="s">
        <v>253</v>
      </c>
      <c r="I30" s="10" t="s">
        <v>111</v>
      </c>
      <c r="J30" s="8">
        <f t="shared" ref="J30:J31" si="22">MAX(K29)</f>
        <v>31</v>
      </c>
      <c r="K30" s="8">
        <f t="shared" si="16"/>
        <v>38</v>
      </c>
      <c r="L30" s="8">
        <f t="shared" si="17"/>
        <v>35</v>
      </c>
      <c r="M30" s="8">
        <f t="shared" si="21"/>
        <v>42</v>
      </c>
      <c r="N30" s="8">
        <f t="shared" si="18"/>
        <v>4</v>
      </c>
      <c r="O30" s="8" t="str">
        <f t="shared" si="19"/>
        <v>No</v>
      </c>
    </row>
    <row r="31" spans="2:15" ht="15.75" customHeight="1" x14ac:dyDescent="0.25">
      <c r="B31" s="8" t="s">
        <v>276</v>
      </c>
      <c r="C31" s="10" t="s">
        <v>278</v>
      </c>
      <c r="D31" s="12" t="s">
        <v>255</v>
      </c>
      <c r="E31" s="13">
        <v>12</v>
      </c>
      <c r="F31" s="18">
        <f>WORKDAY(Assumptions!$C$4-1,J31+1,Assumptions!$C$9:$C$14)</f>
        <v>46380</v>
      </c>
      <c r="G31" s="18">
        <f>WORKDAY(Assumptions!$C$4-1,K31,Assumptions!$C$9:$C$14)</f>
        <v>46400</v>
      </c>
      <c r="H31" s="12" t="s">
        <v>260</v>
      </c>
      <c r="I31" s="10" t="s">
        <v>111</v>
      </c>
      <c r="J31" s="8">
        <f t="shared" si="22"/>
        <v>38</v>
      </c>
      <c r="K31" s="8">
        <f t="shared" si="16"/>
        <v>50</v>
      </c>
      <c r="L31" s="8">
        <f t="shared" si="17"/>
        <v>42</v>
      </c>
      <c r="M31" s="8">
        <f t="shared" si="21"/>
        <v>54</v>
      </c>
      <c r="N31" s="8">
        <f t="shared" si="18"/>
        <v>4</v>
      </c>
      <c r="O31" s="8" t="str">
        <f t="shared" si="19"/>
        <v>No</v>
      </c>
    </row>
    <row r="32" spans="2:15" ht="15.75" customHeight="1" x14ac:dyDescent="0.25">
      <c r="B32" s="8" t="s">
        <v>286</v>
      </c>
      <c r="C32" s="10" t="s">
        <v>287</v>
      </c>
      <c r="D32" s="12" t="s">
        <v>255</v>
      </c>
      <c r="E32" s="13">
        <v>5</v>
      </c>
      <c r="F32" s="18">
        <f>WORKDAY(Assumptions!$C$4-1,J32+1,Assumptions!$C$9:$C$14)</f>
        <v>46401</v>
      </c>
      <c r="G32" s="18">
        <f>WORKDAY(Assumptions!$C$4-1,K32,Assumptions!$C$9:$C$14)</f>
        <v>46407</v>
      </c>
      <c r="H32" s="12" t="s">
        <v>293</v>
      </c>
      <c r="I32" s="10" t="s">
        <v>294</v>
      </c>
      <c r="J32" s="8">
        <f>MAX(K31,K25)</f>
        <v>50</v>
      </c>
      <c r="K32" s="8">
        <f t="shared" si="16"/>
        <v>55</v>
      </c>
      <c r="L32" s="8">
        <f t="shared" si="17"/>
        <v>54</v>
      </c>
      <c r="M32" s="8">
        <f>MIN(L34)</f>
        <v>59</v>
      </c>
      <c r="N32" s="8">
        <f t="shared" si="18"/>
        <v>4</v>
      </c>
      <c r="O32" s="8" t="str">
        <f t="shared" si="19"/>
        <v>No</v>
      </c>
    </row>
    <row r="33" spans="2:15" ht="15.75" customHeight="1" x14ac:dyDescent="0.25">
      <c r="B33" s="26"/>
      <c r="C33" s="27"/>
      <c r="D33" s="28"/>
      <c r="E33" s="29"/>
      <c r="F33" s="30"/>
      <c r="G33" s="30"/>
      <c r="H33" s="28"/>
      <c r="I33" s="27"/>
      <c r="J33" s="26"/>
      <c r="K33" s="26"/>
      <c r="L33" s="26"/>
      <c r="M33" s="26"/>
      <c r="N33" s="26"/>
      <c r="O33" s="26"/>
    </row>
    <row r="34" spans="2:15" ht="15.75" customHeight="1" x14ac:dyDescent="0.25">
      <c r="B34" s="26" t="s">
        <v>245</v>
      </c>
      <c r="C34" s="27" t="s">
        <v>301</v>
      </c>
      <c r="D34" s="28" t="s">
        <v>302</v>
      </c>
      <c r="E34" s="29">
        <v>0</v>
      </c>
      <c r="F34" s="30">
        <f>G34</f>
        <v>46413</v>
      </c>
      <c r="G34" s="30">
        <f>WORKDAY(Assumptions!$C$4-1,K34,Assumptions!$C$9:$C$14)</f>
        <v>46413</v>
      </c>
      <c r="H34" s="28" t="s">
        <v>304</v>
      </c>
      <c r="I34" s="27" t="s">
        <v>59</v>
      </c>
      <c r="J34" s="26">
        <f>MAX(K28,K32,K24)</f>
        <v>59</v>
      </c>
      <c r="K34" s="26">
        <f t="shared" ref="K34:K39" si="23">J34+E34</f>
        <v>59</v>
      </c>
      <c r="L34" s="26">
        <f t="shared" ref="L34:L39" si="24">M34-E34</f>
        <v>59</v>
      </c>
      <c r="M34" s="26">
        <f>MIN(L35,L36,L37,L42)</f>
        <v>59</v>
      </c>
      <c r="N34" s="26">
        <f t="shared" ref="N34:N39" si="25">L34-J34</f>
        <v>0</v>
      </c>
      <c r="O34" s="26" t="str">
        <f t="shared" ref="O34:O39" si="26">IF(N34=0,"Yes","No")</f>
        <v>Yes</v>
      </c>
    </row>
    <row r="35" spans="2:15" ht="15.75" customHeight="1" x14ac:dyDescent="0.25">
      <c r="B35" s="8" t="s">
        <v>312</v>
      </c>
      <c r="C35" s="10" t="s">
        <v>313</v>
      </c>
      <c r="D35" s="12" t="s">
        <v>302</v>
      </c>
      <c r="E35" s="13">
        <v>4</v>
      </c>
      <c r="F35" s="18">
        <f>WORKDAY(Assumptions!$C$4-1,J35+1,Assumptions!$C$9:$C$14)</f>
        <v>46414</v>
      </c>
      <c r="G35" s="18">
        <f>WORKDAY(Assumptions!$C$4-1,K35,Assumptions!$C$9:$C$14)</f>
        <v>46419</v>
      </c>
      <c r="H35" s="12" t="s">
        <v>245</v>
      </c>
      <c r="I35" s="10" t="s">
        <v>318</v>
      </c>
      <c r="J35" s="8">
        <f>MAX(K34)</f>
        <v>59</v>
      </c>
      <c r="K35" s="8">
        <f t="shared" si="23"/>
        <v>63</v>
      </c>
      <c r="L35" s="8">
        <f t="shared" si="24"/>
        <v>61</v>
      </c>
      <c r="M35" s="8">
        <f>MIN(L38)</f>
        <v>65</v>
      </c>
      <c r="N35" s="8">
        <f t="shared" si="25"/>
        <v>2</v>
      </c>
      <c r="O35" s="8" t="str">
        <f t="shared" si="26"/>
        <v>No</v>
      </c>
    </row>
    <row r="36" spans="2:15" ht="15.75" customHeight="1" x14ac:dyDescent="0.25">
      <c r="B36" s="8" t="s">
        <v>319</v>
      </c>
      <c r="C36" s="10" t="s">
        <v>320</v>
      </c>
      <c r="D36" s="12" t="s">
        <v>302</v>
      </c>
      <c r="E36" s="13">
        <v>5</v>
      </c>
      <c r="F36" s="18">
        <f>WORKDAY(Assumptions!$C$4-1,J36+1,Assumptions!$C$9:$C$14)</f>
        <v>46414</v>
      </c>
      <c r="G36" s="18">
        <f>WORKDAY(Assumptions!$C$4-1,K36,Assumptions!$C$9:$C$14)</f>
        <v>46420</v>
      </c>
      <c r="H36" s="12" t="s">
        <v>245</v>
      </c>
      <c r="I36" s="10" t="s">
        <v>322</v>
      </c>
      <c r="J36" s="8">
        <f>MAX(K34)</f>
        <v>59</v>
      </c>
      <c r="K36" s="8">
        <f t="shared" si="23"/>
        <v>64</v>
      </c>
      <c r="L36" s="8">
        <f t="shared" si="24"/>
        <v>60</v>
      </c>
      <c r="M36" s="8">
        <f>MIN(L38)</f>
        <v>65</v>
      </c>
      <c r="N36" s="8">
        <f t="shared" si="25"/>
        <v>1</v>
      </c>
      <c r="O36" s="8" t="str">
        <f t="shared" si="26"/>
        <v>No</v>
      </c>
    </row>
    <row r="37" spans="2:15" ht="15.75" customHeight="1" x14ac:dyDescent="0.25">
      <c r="B37" s="8" t="s">
        <v>178</v>
      </c>
      <c r="C37" s="10" t="s">
        <v>323</v>
      </c>
      <c r="D37" s="12" t="s">
        <v>302</v>
      </c>
      <c r="E37" s="13">
        <v>6</v>
      </c>
      <c r="F37" s="18">
        <f>WORKDAY(Assumptions!$C$4-1,J37+1,Assumptions!$C$9:$C$14)</f>
        <v>46414</v>
      </c>
      <c r="G37" s="18">
        <f>WORKDAY(Assumptions!$C$4-1,K37,Assumptions!$C$9:$C$14)</f>
        <v>46421</v>
      </c>
      <c r="H37" s="12" t="s">
        <v>245</v>
      </c>
      <c r="I37" s="10" t="s">
        <v>326</v>
      </c>
      <c r="J37" s="8">
        <f>MAX(K34)</f>
        <v>59</v>
      </c>
      <c r="K37" s="8">
        <f t="shared" si="23"/>
        <v>65</v>
      </c>
      <c r="L37" s="8">
        <f t="shared" si="24"/>
        <v>59</v>
      </c>
      <c r="M37" s="8">
        <f t="shared" ref="M37:M38" si="27">MIN(L38)</f>
        <v>65</v>
      </c>
      <c r="N37" s="8">
        <f t="shared" si="25"/>
        <v>0</v>
      </c>
      <c r="O37" s="8" t="str">
        <f t="shared" si="26"/>
        <v>Yes</v>
      </c>
    </row>
    <row r="38" spans="2:15" ht="15.75" customHeight="1" x14ac:dyDescent="0.25">
      <c r="B38" s="8" t="s">
        <v>268</v>
      </c>
      <c r="C38" s="10" t="s">
        <v>328</v>
      </c>
      <c r="D38" s="12" t="s">
        <v>302</v>
      </c>
      <c r="E38" s="13">
        <v>5</v>
      </c>
      <c r="F38" s="18">
        <f>WORKDAY(Assumptions!$C$4-1,J38+1,Assumptions!$C$9:$C$14)</f>
        <v>46422</v>
      </c>
      <c r="G38" s="18">
        <f>WORKDAY(Assumptions!$C$4-1,K38,Assumptions!$C$9:$C$14)</f>
        <v>46428</v>
      </c>
      <c r="H38" s="12" t="s">
        <v>329</v>
      </c>
      <c r="I38" s="10" t="s">
        <v>330</v>
      </c>
      <c r="J38" s="8">
        <f>MAX(K35,K36,K37)</f>
        <v>65</v>
      </c>
      <c r="K38" s="8">
        <f t="shared" si="23"/>
        <v>70</v>
      </c>
      <c r="L38" s="8">
        <f t="shared" si="24"/>
        <v>65</v>
      </c>
      <c r="M38" s="8">
        <f t="shared" si="27"/>
        <v>70</v>
      </c>
      <c r="N38" s="8">
        <f t="shared" si="25"/>
        <v>0</v>
      </c>
      <c r="O38" s="8" t="str">
        <f t="shared" si="26"/>
        <v>Yes</v>
      </c>
    </row>
    <row r="39" spans="2:15" ht="15.75" customHeight="1" x14ac:dyDescent="0.25">
      <c r="B39" s="8" t="s">
        <v>281</v>
      </c>
      <c r="C39" s="10" t="s">
        <v>331</v>
      </c>
      <c r="D39" s="12" t="s">
        <v>302</v>
      </c>
      <c r="E39" s="13">
        <v>5</v>
      </c>
      <c r="F39" s="18">
        <f>WORKDAY(Assumptions!$C$4-1,J39+1,Assumptions!$C$9:$C$14)</f>
        <v>46429</v>
      </c>
      <c r="G39" s="18">
        <f>WORKDAY(Assumptions!$C$4-1,K39,Assumptions!$C$9:$C$14)</f>
        <v>46435</v>
      </c>
      <c r="H39" s="12" t="s">
        <v>268</v>
      </c>
      <c r="I39" s="10" t="s">
        <v>333</v>
      </c>
      <c r="J39" s="8">
        <f>MAX(K38)</f>
        <v>70</v>
      </c>
      <c r="K39" s="8">
        <f t="shared" si="23"/>
        <v>75</v>
      </c>
      <c r="L39" s="8">
        <f t="shared" si="24"/>
        <v>70</v>
      </c>
      <c r="M39" s="8">
        <f>MIN(L41)</f>
        <v>75</v>
      </c>
      <c r="N39" s="8">
        <f t="shared" si="25"/>
        <v>0</v>
      </c>
      <c r="O39" s="8" t="str">
        <f t="shared" si="26"/>
        <v>Yes</v>
      </c>
    </row>
    <row r="40" spans="2:15" ht="15.75" customHeight="1" x14ac:dyDescent="0.25">
      <c r="B40" s="26"/>
      <c r="C40" s="27"/>
      <c r="D40" s="28"/>
      <c r="E40" s="29"/>
      <c r="F40" s="30"/>
      <c r="G40" s="30"/>
      <c r="H40" s="28"/>
      <c r="I40" s="27"/>
      <c r="J40" s="26"/>
      <c r="K40" s="26"/>
      <c r="L40" s="26"/>
      <c r="M40" s="26"/>
      <c r="N40" s="26"/>
      <c r="O40" s="26"/>
    </row>
    <row r="41" spans="2:15" ht="15.75" customHeight="1" x14ac:dyDescent="0.25">
      <c r="B41" s="26" t="s">
        <v>297</v>
      </c>
      <c r="C41" s="27" t="s">
        <v>334</v>
      </c>
      <c r="D41" s="28" t="s">
        <v>302</v>
      </c>
      <c r="E41" s="29">
        <v>0</v>
      </c>
      <c r="F41" s="30">
        <f>G41</f>
        <v>46435</v>
      </c>
      <c r="G41" s="30">
        <f>WORKDAY(Assumptions!$C$4-1,K41,Assumptions!$C$9:$C$14)</f>
        <v>46435</v>
      </c>
      <c r="H41" s="28" t="s">
        <v>281</v>
      </c>
      <c r="I41" s="27" t="s">
        <v>59</v>
      </c>
      <c r="J41" s="26">
        <f>MAX(K39)</f>
        <v>75</v>
      </c>
      <c r="K41" s="26">
        <f t="shared" ref="K41:K47" si="28">J41+E41</f>
        <v>75</v>
      </c>
      <c r="L41" s="26">
        <f t="shared" ref="L41:L47" si="29">M41-E41</f>
        <v>75</v>
      </c>
      <c r="M41" s="26">
        <f>MIN(L43,L44)</f>
        <v>75</v>
      </c>
      <c r="N41" s="26">
        <f t="shared" ref="N41:N47" si="30">L41-J41</f>
        <v>0</v>
      </c>
      <c r="O41" s="26" t="str">
        <f t="shared" ref="O41:O47" si="31">IF(N41=0,"Yes","No")</f>
        <v>Yes</v>
      </c>
    </row>
    <row r="42" spans="2:15" ht="15.75" customHeight="1" x14ac:dyDescent="0.25">
      <c r="B42" s="8" t="s">
        <v>337</v>
      </c>
      <c r="C42" s="10" t="s">
        <v>338</v>
      </c>
      <c r="D42" s="12" t="s">
        <v>339</v>
      </c>
      <c r="E42" s="13">
        <v>7</v>
      </c>
      <c r="F42" s="18">
        <f>WORKDAY(Assumptions!$C$4-1,J42+1,Assumptions!$C$9:$C$14)</f>
        <v>46414</v>
      </c>
      <c r="G42" s="18">
        <f>WORKDAY(Assumptions!$C$4-1,K42,Assumptions!$C$9:$C$14)</f>
        <v>46422</v>
      </c>
      <c r="H42" s="12" t="s">
        <v>245</v>
      </c>
      <c r="I42" s="10" t="s">
        <v>340</v>
      </c>
      <c r="J42" s="8">
        <f>MAX(K34)</f>
        <v>59</v>
      </c>
      <c r="K42" s="8">
        <f t="shared" si="28"/>
        <v>66</v>
      </c>
      <c r="L42" s="8">
        <f t="shared" si="29"/>
        <v>68</v>
      </c>
      <c r="M42" s="8">
        <f t="shared" ref="M42:M43" si="32">MIN(L44)</f>
        <v>75</v>
      </c>
      <c r="N42" s="8">
        <f t="shared" si="30"/>
        <v>9</v>
      </c>
      <c r="O42" s="8" t="str">
        <f t="shared" si="31"/>
        <v>No</v>
      </c>
    </row>
    <row r="43" spans="2:15" ht="15.75" customHeight="1" x14ac:dyDescent="0.25">
      <c r="B43" s="8" t="s">
        <v>341</v>
      </c>
      <c r="C43" s="10" t="s">
        <v>342</v>
      </c>
      <c r="D43" s="12" t="s">
        <v>339</v>
      </c>
      <c r="E43" s="13">
        <v>3</v>
      </c>
      <c r="F43" s="18">
        <f>WORKDAY(Assumptions!$C$4-1,J43+1,Assumptions!$C$9:$C$14)</f>
        <v>46436</v>
      </c>
      <c r="G43" s="18">
        <f>WORKDAY(Assumptions!$C$4-1,K43,Assumptions!$C$9:$C$14)</f>
        <v>46440</v>
      </c>
      <c r="H43" s="12" t="s">
        <v>297</v>
      </c>
      <c r="I43" s="10" t="s">
        <v>72</v>
      </c>
      <c r="J43" s="8">
        <f>MAX(K41)</f>
        <v>75</v>
      </c>
      <c r="K43" s="8">
        <f t="shared" si="28"/>
        <v>78</v>
      </c>
      <c r="L43" s="8">
        <f t="shared" si="29"/>
        <v>76</v>
      </c>
      <c r="M43" s="8">
        <f t="shared" si="32"/>
        <v>79</v>
      </c>
      <c r="N43" s="8">
        <f t="shared" si="30"/>
        <v>1</v>
      </c>
      <c r="O43" s="8" t="str">
        <f t="shared" si="31"/>
        <v>No</v>
      </c>
    </row>
    <row r="44" spans="2:15" ht="15.75" customHeight="1" x14ac:dyDescent="0.25">
      <c r="B44" s="8" t="s">
        <v>309</v>
      </c>
      <c r="C44" s="10" t="s">
        <v>343</v>
      </c>
      <c r="D44" s="12" t="s">
        <v>339</v>
      </c>
      <c r="E44" s="13">
        <v>4</v>
      </c>
      <c r="F44" s="18">
        <f>WORKDAY(Assumptions!$C$4-1,J44+1,Assumptions!$C$9:$C$14)</f>
        <v>46436</v>
      </c>
      <c r="G44" s="18">
        <f>WORKDAY(Assumptions!$C$4-1,K44,Assumptions!$C$9:$C$14)</f>
        <v>46441</v>
      </c>
      <c r="H44" s="12" t="s">
        <v>344</v>
      </c>
      <c r="I44" s="10" t="s">
        <v>67</v>
      </c>
      <c r="J44" s="8">
        <f>MAX(K41,K42)</f>
        <v>75</v>
      </c>
      <c r="K44" s="8">
        <f t="shared" si="28"/>
        <v>79</v>
      </c>
      <c r="L44" s="8">
        <f t="shared" si="29"/>
        <v>75</v>
      </c>
      <c r="M44" s="8">
        <f t="shared" ref="M44:M46" si="33">MIN(L45)</f>
        <v>79</v>
      </c>
      <c r="N44" s="8">
        <f t="shared" si="30"/>
        <v>0</v>
      </c>
      <c r="O44" s="8" t="str">
        <f t="shared" si="31"/>
        <v>Yes</v>
      </c>
    </row>
    <row r="45" spans="2:15" ht="15.75" customHeight="1" x14ac:dyDescent="0.25">
      <c r="B45" s="8" t="s">
        <v>321</v>
      </c>
      <c r="C45" s="10" t="s">
        <v>345</v>
      </c>
      <c r="D45" s="12" t="s">
        <v>339</v>
      </c>
      <c r="E45" s="13">
        <v>1</v>
      </c>
      <c r="F45" s="18">
        <f>WORKDAY(Assumptions!$C$4-1,J45+1,Assumptions!$C$9:$C$14)</f>
        <v>46442</v>
      </c>
      <c r="G45" s="18">
        <f>WORKDAY(Assumptions!$C$4-1,K45,Assumptions!$C$9:$C$14)</f>
        <v>46442</v>
      </c>
      <c r="H45" s="12" t="s">
        <v>346</v>
      </c>
      <c r="I45" s="10" t="s">
        <v>59</v>
      </c>
      <c r="J45" s="8">
        <f>MAX(K43,K44)</f>
        <v>79</v>
      </c>
      <c r="K45" s="8">
        <f t="shared" si="28"/>
        <v>80</v>
      </c>
      <c r="L45" s="8">
        <f t="shared" si="29"/>
        <v>79</v>
      </c>
      <c r="M45" s="8">
        <f t="shared" si="33"/>
        <v>80</v>
      </c>
      <c r="N45" s="8">
        <f t="shared" si="30"/>
        <v>0</v>
      </c>
      <c r="O45" s="8" t="str">
        <f t="shared" si="31"/>
        <v>Yes</v>
      </c>
    </row>
    <row r="46" spans="2:15" ht="15.75" customHeight="1" x14ac:dyDescent="0.25">
      <c r="B46" s="8" t="s">
        <v>327</v>
      </c>
      <c r="C46" s="10" t="s">
        <v>347</v>
      </c>
      <c r="D46" s="12" t="s">
        <v>339</v>
      </c>
      <c r="E46" s="13">
        <v>3</v>
      </c>
      <c r="F46" s="18">
        <f>WORKDAY(Assumptions!$C$4-1,J46+1,Assumptions!$C$9:$C$14)</f>
        <v>46443</v>
      </c>
      <c r="G46" s="18">
        <f>WORKDAY(Assumptions!$C$4-1,K46,Assumptions!$C$9:$C$14)</f>
        <v>46447</v>
      </c>
      <c r="H46" s="12" t="s">
        <v>321</v>
      </c>
      <c r="I46" s="10" t="s">
        <v>59</v>
      </c>
      <c r="J46" s="8">
        <f t="shared" ref="J46:J47" si="34">MAX(K45)</f>
        <v>80</v>
      </c>
      <c r="K46" s="8">
        <f t="shared" si="28"/>
        <v>83</v>
      </c>
      <c r="L46" s="8">
        <f t="shared" si="29"/>
        <v>80</v>
      </c>
      <c r="M46" s="8">
        <f t="shared" si="33"/>
        <v>83</v>
      </c>
      <c r="N46" s="8">
        <f t="shared" si="30"/>
        <v>0</v>
      </c>
      <c r="O46" s="8" t="str">
        <f t="shared" si="31"/>
        <v>Yes</v>
      </c>
    </row>
    <row r="47" spans="2:15" ht="15.75" customHeight="1" x14ac:dyDescent="0.25">
      <c r="B47" s="26" t="s">
        <v>332</v>
      </c>
      <c r="C47" s="27" t="s">
        <v>348</v>
      </c>
      <c r="D47" s="28" t="s">
        <v>339</v>
      </c>
      <c r="E47" s="29">
        <v>0</v>
      </c>
      <c r="F47" s="30">
        <f>G47</f>
        <v>46447</v>
      </c>
      <c r="G47" s="30">
        <f>WORKDAY(Assumptions!$C$4-1,K47,Assumptions!$C$9:$C$14)</f>
        <v>46447</v>
      </c>
      <c r="H47" s="28" t="s">
        <v>327</v>
      </c>
      <c r="I47" s="27" t="s">
        <v>59</v>
      </c>
      <c r="J47" s="26">
        <f t="shared" si="34"/>
        <v>83</v>
      </c>
      <c r="K47" s="26">
        <f t="shared" si="28"/>
        <v>83</v>
      </c>
      <c r="L47" s="26">
        <f t="shared" si="29"/>
        <v>83</v>
      </c>
      <c r="M47" s="26">
        <f>MAX($K$5:$K$47)</f>
        <v>83</v>
      </c>
      <c r="N47" s="26">
        <f t="shared" si="30"/>
        <v>0</v>
      </c>
      <c r="O47" s="26" t="str">
        <f t="shared" si="31"/>
        <v>Yes</v>
      </c>
    </row>
    <row r="48" spans="2:15" ht="15.75" customHeight="1" x14ac:dyDescent="0.25"/>
    <row r="49" spans="3:5" ht="15.75" customHeight="1" x14ac:dyDescent="0.25">
      <c r="C49" s="4" t="s">
        <v>7</v>
      </c>
      <c r="E49" s="4">
        <f>MAX(K5:K47)</f>
        <v>83</v>
      </c>
    </row>
    <row r="50" spans="3:5" ht="15.75" customHeight="1" x14ac:dyDescent="0.25">
      <c r="C50" s="4" t="s">
        <v>349</v>
      </c>
      <c r="E50" s="61">
        <f>MAX(G5:G47)</f>
        <v>46447</v>
      </c>
    </row>
    <row r="51" spans="3:5" ht="15.75" customHeight="1" x14ac:dyDescent="0.25">
      <c r="C51" s="4" t="s">
        <v>350</v>
      </c>
      <c r="E51" s="4">
        <f>COUNTIF(E5:E47,"&gt;0")</f>
        <v>32</v>
      </c>
    </row>
    <row r="52" spans="3:5" ht="15.75" customHeight="1" x14ac:dyDescent="0.25">
      <c r="C52" s="4" t="s">
        <v>351</v>
      </c>
      <c r="E52" s="4">
        <f>COUNTIF(E5:E47,0)</f>
        <v>6</v>
      </c>
    </row>
    <row r="53" spans="3:5" ht="15.75" customHeight="1" x14ac:dyDescent="0.25"/>
    <row r="54" spans="3:5" ht="15.75" customHeight="1" x14ac:dyDescent="0.25"/>
    <row r="55" spans="3:5" ht="15.75" customHeight="1" x14ac:dyDescent="0.25"/>
    <row r="56" spans="3:5" ht="15.75" customHeight="1" x14ac:dyDescent="0.25"/>
    <row r="57" spans="3:5" ht="15.75" customHeight="1" x14ac:dyDescent="0.25"/>
    <row r="58" spans="3:5" ht="15.75" customHeight="1" x14ac:dyDescent="0.25"/>
    <row r="59" spans="3:5" ht="15.75" customHeight="1" x14ac:dyDescent="0.25"/>
    <row r="60" spans="3:5" ht="15.75" customHeight="1" x14ac:dyDescent="0.25"/>
    <row r="61" spans="3:5" ht="15.75" customHeight="1" x14ac:dyDescent="0.25"/>
    <row r="62" spans="3:5" ht="15.75" customHeight="1" x14ac:dyDescent="0.25"/>
    <row r="63" spans="3:5" ht="15.75" customHeight="1" x14ac:dyDescent="0.25"/>
    <row r="64" spans="3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006"/>
  <sheetViews>
    <sheetView workbookViewId="0">
      <pane xSplit="8" ySplit="4" topLeftCell="I5" activePane="bottomRight" state="frozen"/>
      <selection pane="topRight" activeCell="H1" sqref="H1"/>
      <selection pane="bottomLeft" activeCell="A5" sqref="A5"/>
      <selection pane="bottomRight" sqref="A1:A1048576"/>
    </sheetView>
  </sheetViews>
  <sheetFormatPr defaultColWidth="14.42578125" defaultRowHeight="15" customHeight="1" x14ac:dyDescent="0.25"/>
  <cols>
    <col min="1" max="1" width="3.28515625" customWidth="1"/>
    <col min="2" max="2" width="7" customWidth="1"/>
    <col min="3" max="3" width="50" customWidth="1"/>
    <col min="4" max="5" width="11" customWidth="1"/>
    <col min="6" max="6" width="9" customWidth="1"/>
    <col min="7" max="7" width="10" customWidth="1"/>
    <col min="8" max="8" width="16" customWidth="1"/>
    <col min="9" max="26" width="3.140625" customWidth="1"/>
    <col min="27" max="27" width="8.7109375" customWidth="1"/>
  </cols>
  <sheetData>
    <row r="1" spans="2:26" ht="18" x14ac:dyDescent="0.25">
      <c r="B1" s="2" t="s">
        <v>2</v>
      </c>
    </row>
    <row r="2" spans="2:26" x14ac:dyDescent="0.25">
      <c r="B2" s="3"/>
    </row>
    <row r="4" spans="2:26" ht="60" customHeight="1" x14ac:dyDescent="0.25">
      <c r="B4" s="5" t="s">
        <v>8</v>
      </c>
      <c r="C4" s="5" t="s">
        <v>11</v>
      </c>
      <c r="D4" s="5" t="s">
        <v>13</v>
      </c>
      <c r="E4" s="5" t="s">
        <v>16</v>
      </c>
      <c r="F4" s="5" t="s">
        <v>20</v>
      </c>
      <c r="G4" s="5" t="s">
        <v>22</v>
      </c>
      <c r="H4" s="5" t="s">
        <v>23</v>
      </c>
      <c r="I4" s="14">
        <f>Assumptions!$C$4</f>
        <v>46328</v>
      </c>
      <c r="J4" s="14">
        <f t="shared" ref="J4:Z4" si="0">I4+7</f>
        <v>46335</v>
      </c>
      <c r="K4" s="14">
        <f t="shared" si="0"/>
        <v>46342</v>
      </c>
      <c r="L4" s="14">
        <f t="shared" si="0"/>
        <v>46349</v>
      </c>
      <c r="M4" s="14">
        <f t="shared" si="0"/>
        <v>46356</v>
      </c>
      <c r="N4" s="14">
        <f t="shared" si="0"/>
        <v>46363</v>
      </c>
      <c r="O4" s="14">
        <f t="shared" si="0"/>
        <v>46370</v>
      </c>
      <c r="P4" s="14">
        <f t="shared" si="0"/>
        <v>46377</v>
      </c>
      <c r="Q4" s="14">
        <f t="shared" si="0"/>
        <v>46384</v>
      </c>
      <c r="R4" s="14">
        <f t="shared" si="0"/>
        <v>46391</v>
      </c>
      <c r="S4" s="14">
        <f t="shared" si="0"/>
        <v>46398</v>
      </c>
      <c r="T4" s="14">
        <f t="shared" si="0"/>
        <v>46405</v>
      </c>
      <c r="U4" s="14">
        <f t="shared" si="0"/>
        <v>46412</v>
      </c>
      <c r="V4" s="14">
        <f t="shared" si="0"/>
        <v>46419</v>
      </c>
      <c r="W4" s="14">
        <f t="shared" si="0"/>
        <v>46426</v>
      </c>
      <c r="X4" s="14">
        <f t="shared" si="0"/>
        <v>46433</v>
      </c>
      <c r="Y4" s="14">
        <f t="shared" si="0"/>
        <v>46440</v>
      </c>
      <c r="Z4" s="14">
        <f t="shared" si="0"/>
        <v>46447</v>
      </c>
    </row>
    <row r="5" spans="2:26" x14ac:dyDescent="0.25">
      <c r="B5" s="19" t="s">
        <v>63</v>
      </c>
      <c r="C5" s="21" t="s">
        <v>65</v>
      </c>
      <c r="D5" s="22">
        <f>MIN(D6:D9)</f>
        <v>46328</v>
      </c>
      <c r="E5" s="22">
        <f>MAX(E6:E9)</f>
        <v>46335</v>
      </c>
      <c r="F5" s="19"/>
      <c r="G5" s="19" t="s">
        <v>10</v>
      </c>
      <c r="H5" s="19"/>
      <c r="I5" s="25" t="str">
        <f t="shared" ref="I5:Z5" si="1">IF(AND($G5="Milestone",$D5&gt;=I$4,$D5&lt;=I$4+6),"◆","")</f>
        <v/>
      </c>
      <c r="J5" s="25" t="str">
        <f t="shared" si="1"/>
        <v/>
      </c>
      <c r="K5" s="25" t="str">
        <f t="shared" si="1"/>
        <v/>
      </c>
      <c r="L5" s="25" t="str">
        <f t="shared" si="1"/>
        <v/>
      </c>
      <c r="M5" s="25" t="str">
        <f t="shared" si="1"/>
        <v/>
      </c>
      <c r="N5" s="25" t="str">
        <f t="shared" si="1"/>
        <v/>
      </c>
      <c r="O5" s="25" t="str">
        <f t="shared" si="1"/>
        <v/>
      </c>
      <c r="P5" s="25" t="str">
        <f t="shared" si="1"/>
        <v/>
      </c>
      <c r="Q5" s="25" t="str">
        <f t="shared" si="1"/>
        <v/>
      </c>
      <c r="R5" s="25" t="str">
        <f t="shared" si="1"/>
        <v/>
      </c>
      <c r="S5" s="25" t="str">
        <f t="shared" si="1"/>
        <v/>
      </c>
      <c r="T5" s="25" t="str">
        <f t="shared" si="1"/>
        <v/>
      </c>
      <c r="U5" s="25" t="str">
        <f t="shared" si="1"/>
        <v/>
      </c>
      <c r="V5" s="25" t="str">
        <f t="shared" si="1"/>
        <v/>
      </c>
      <c r="W5" s="25" t="str">
        <f t="shared" si="1"/>
        <v/>
      </c>
      <c r="X5" s="25" t="str">
        <f t="shared" si="1"/>
        <v/>
      </c>
      <c r="Y5" s="25" t="str">
        <f t="shared" si="1"/>
        <v/>
      </c>
      <c r="Z5" s="25" t="str">
        <f t="shared" si="1"/>
        <v/>
      </c>
    </row>
    <row r="6" spans="2:26" x14ac:dyDescent="0.25">
      <c r="B6" s="32" t="str">
        <f>Schedule!B5</f>
        <v>A01</v>
      </c>
      <c r="C6" s="33" t="str">
        <f>Schedule!C5</f>
        <v>Project kick-off and sign-off of execution plan</v>
      </c>
      <c r="D6" s="34">
        <f>Schedule!F5</f>
        <v>46328</v>
      </c>
      <c r="E6" s="34">
        <f>Schedule!G5</f>
        <v>46329</v>
      </c>
      <c r="F6" s="32" t="str">
        <f>Schedule!O5</f>
        <v>Yes</v>
      </c>
      <c r="G6" s="32" t="s">
        <v>66</v>
      </c>
      <c r="H6" s="32" t="str">
        <f>Schedule!H5</f>
        <v>None</v>
      </c>
      <c r="I6" s="25" t="str">
        <f t="shared" ref="I6:Z6" si="2">IF(AND($G6="Milestone",$D6&gt;=I$4,$D6&lt;=I$4+6),"◆","")</f>
        <v/>
      </c>
      <c r="J6" s="25" t="str">
        <f t="shared" si="2"/>
        <v/>
      </c>
      <c r="K6" s="25" t="str">
        <f t="shared" si="2"/>
        <v/>
      </c>
      <c r="L6" s="25" t="str">
        <f t="shared" si="2"/>
        <v/>
      </c>
      <c r="M6" s="25" t="str">
        <f t="shared" si="2"/>
        <v/>
      </c>
      <c r="N6" s="25" t="str">
        <f t="shared" si="2"/>
        <v/>
      </c>
      <c r="O6" s="25" t="str">
        <f t="shared" si="2"/>
        <v/>
      </c>
      <c r="P6" s="25" t="str">
        <f t="shared" si="2"/>
        <v/>
      </c>
      <c r="Q6" s="25" t="str">
        <f t="shared" si="2"/>
        <v/>
      </c>
      <c r="R6" s="25" t="str">
        <f t="shared" si="2"/>
        <v/>
      </c>
      <c r="S6" s="25" t="str">
        <f t="shared" si="2"/>
        <v/>
      </c>
      <c r="T6" s="25" t="str">
        <f t="shared" si="2"/>
        <v/>
      </c>
      <c r="U6" s="25" t="str">
        <f t="shared" si="2"/>
        <v/>
      </c>
      <c r="V6" s="25" t="str">
        <f t="shared" si="2"/>
        <v/>
      </c>
      <c r="W6" s="25" t="str">
        <f t="shared" si="2"/>
        <v/>
      </c>
      <c r="X6" s="25" t="str">
        <f t="shared" si="2"/>
        <v/>
      </c>
      <c r="Y6" s="25" t="str">
        <f t="shared" si="2"/>
        <v/>
      </c>
      <c r="Z6" s="25" t="str">
        <f t="shared" si="2"/>
        <v/>
      </c>
    </row>
    <row r="7" spans="2:26" x14ac:dyDescent="0.25">
      <c r="B7" s="32" t="str">
        <f>Schedule!B6</f>
        <v>A02</v>
      </c>
      <c r="C7" s="33" t="str">
        <f>Schedule!C6</f>
        <v>Tools, access and environment setup (Power BI, Python, GitHub, API keys)</v>
      </c>
      <c r="D7" s="34">
        <f>Schedule!F6</f>
        <v>46330</v>
      </c>
      <c r="E7" s="34">
        <f>Schedule!G6</f>
        <v>46332</v>
      </c>
      <c r="F7" s="32" t="str">
        <f>Schedule!O6</f>
        <v>No</v>
      </c>
      <c r="G7" s="32" t="s">
        <v>66</v>
      </c>
      <c r="H7" s="32" t="str">
        <f>Schedule!H6</f>
        <v>A01</v>
      </c>
      <c r="I7" s="25" t="str">
        <f t="shared" ref="I7:Z7" si="3">IF(AND($G7="Milestone",$D7&gt;=I$4,$D7&lt;=I$4+6),"◆","")</f>
        <v/>
      </c>
      <c r="J7" s="25" t="str">
        <f t="shared" si="3"/>
        <v/>
      </c>
      <c r="K7" s="25" t="str">
        <f t="shared" si="3"/>
        <v/>
      </c>
      <c r="L7" s="25" t="str">
        <f t="shared" si="3"/>
        <v/>
      </c>
      <c r="M7" s="25" t="str">
        <f t="shared" si="3"/>
        <v/>
      </c>
      <c r="N7" s="25" t="str">
        <f t="shared" si="3"/>
        <v/>
      </c>
      <c r="O7" s="25" t="str">
        <f t="shared" si="3"/>
        <v/>
      </c>
      <c r="P7" s="25" t="str">
        <f t="shared" si="3"/>
        <v/>
      </c>
      <c r="Q7" s="25" t="str">
        <f t="shared" si="3"/>
        <v/>
      </c>
      <c r="R7" s="25" t="str">
        <f t="shared" si="3"/>
        <v/>
      </c>
      <c r="S7" s="25" t="str">
        <f t="shared" si="3"/>
        <v/>
      </c>
      <c r="T7" s="25" t="str">
        <f t="shared" si="3"/>
        <v/>
      </c>
      <c r="U7" s="25" t="str">
        <f t="shared" si="3"/>
        <v/>
      </c>
      <c r="V7" s="25" t="str">
        <f t="shared" si="3"/>
        <v/>
      </c>
      <c r="W7" s="25" t="str">
        <f t="shared" si="3"/>
        <v/>
      </c>
      <c r="X7" s="25" t="str">
        <f t="shared" si="3"/>
        <v/>
      </c>
      <c r="Y7" s="25" t="str">
        <f t="shared" si="3"/>
        <v/>
      </c>
      <c r="Z7" s="25" t="str">
        <f t="shared" si="3"/>
        <v/>
      </c>
    </row>
    <row r="8" spans="2:26" x14ac:dyDescent="0.25">
      <c r="B8" s="32" t="str">
        <f>Schedule!B7</f>
        <v>A03</v>
      </c>
      <c r="C8" s="33" t="str">
        <f>Schedule!C7</f>
        <v>Dataset handover and file validation (9 CSV files and data dictionary)</v>
      </c>
      <c r="D8" s="34">
        <f>Schedule!F7</f>
        <v>46330</v>
      </c>
      <c r="E8" s="34">
        <f>Schedule!G7</f>
        <v>46335</v>
      </c>
      <c r="F8" s="32" t="str">
        <f>Schedule!O7</f>
        <v>Yes</v>
      </c>
      <c r="G8" s="32" t="s">
        <v>66</v>
      </c>
      <c r="H8" s="32" t="str">
        <f>Schedule!H7</f>
        <v>A01</v>
      </c>
      <c r="I8" s="25" t="str">
        <f t="shared" ref="I8:Z8" si="4">IF(AND($G8="Milestone",$D8&gt;=I$4,$D8&lt;=I$4+6),"◆","")</f>
        <v/>
      </c>
      <c r="J8" s="25" t="str">
        <f t="shared" si="4"/>
        <v/>
      </c>
      <c r="K8" s="25" t="str">
        <f t="shared" si="4"/>
        <v/>
      </c>
      <c r="L8" s="25" t="str">
        <f t="shared" si="4"/>
        <v/>
      </c>
      <c r="M8" s="25" t="str">
        <f t="shared" si="4"/>
        <v/>
      </c>
      <c r="N8" s="25" t="str">
        <f t="shared" si="4"/>
        <v/>
      </c>
      <c r="O8" s="25" t="str">
        <f t="shared" si="4"/>
        <v/>
      </c>
      <c r="P8" s="25" t="str">
        <f t="shared" si="4"/>
        <v/>
      </c>
      <c r="Q8" s="25" t="str">
        <f t="shared" si="4"/>
        <v/>
      </c>
      <c r="R8" s="25" t="str">
        <f t="shared" si="4"/>
        <v/>
      </c>
      <c r="S8" s="25" t="str">
        <f t="shared" si="4"/>
        <v/>
      </c>
      <c r="T8" s="25" t="str">
        <f t="shared" si="4"/>
        <v/>
      </c>
      <c r="U8" s="25" t="str">
        <f t="shared" si="4"/>
        <v/>
      </c>
      <c r="V8" s="25" t="str">
        <f t="shared" si="4"/>
        <v/>
      </c>
      <c r="W8" s="25" t="str">
        <f t="shared" si="4"/>
        <v/>
      </c>
      <c r="X8" s="25" t="str">
        <f t="shared" si="4"/>
        <v/>
      </c>
      <c r="Y8" s="25" t="str">
        <f t="shared" si="4"/>
        <v/>
      </c>
      <c r="Z8" s="25" t="str">
        <f t="shared" si="4"/>
        <v/>
      </c>
    </row>
    <row r="9" spans="2:26" x14ac:dyDescent="0.25">
      <c r="B9" s="32" t="str">
        <f>Schedule!B9</f>
        <v>M1</v>
      </c>
      <c r="C9" s="33" t="str">
        <f>Schedule!C9</f>
        <v>Milestone: Project Mobilised</v>
      </c>
      <c r="D9" s="34">
        <f>Schedule!F9</f>
        <v>46335</v>
      </c>
      <c r="E9" s="34">
        <f>Schedule!G9</f>
        <v>46335</v>
      </c>
      <c r="F9" s="32" t="str">
        <f>Schedule!O9</f>
        <v>Yes</v>
      </c>
      <c r="G9" s="32" t="s">
        <v>112</v>
      </c>
      <c r="H9" s="32" t="str">
        <f>Schedule!H9</f>
        <v>A02, A03</v>
      </c>
      <c r="I9" s="25" t="str">
        <f t="shared" ref="I9:Z9" si="5">IF(AND($G9="Milestone",$D9&gt;=I$4,$D9&lt;=I$4+6),"◆","")</f>
        <v/>
      </c>
      <c r="J9" s="25" t="str">
        <f t="shared" si="5"/>
        <v>◆</v>
      </c>
      <c r="K9" s="25" t="str">
        <f t="shared" si="5"/>
        <v/>
      </c>
      <c r="L9" s="25" t="str">
        <f t="shared" si="5"/>
        <v/>
      </c>
      <c r="M9" s="25" t="str">
        <f t="shared" si="5"/>
        <v/>
      </c>
      <c r="N9" s="25" t="str">
        <f t="shared" si="5"/>
        <v/>
      </c>
      <c r="O9" s="25" t="str">
        <f t="shared" si="5"/>
        <v/>
      </c>
      <c r="P9" s="25" t="str">
        <f t="shared" si="5"/>
        <v/>
      </c>
      <c r="Q9" s="25" t="str">
        <f t="shared" si="5"/>
        <v/>
      </c>
      <c r="R9" s="25" t="str">
        <f t="shared" si="5"/>
        <v/>
      </c>
      <c r="S9" s="25" t="str">
        <f t="shared" si="5"/>
        <v/>
      </c>
      <c r="T9" s="25" t="str">
        <f t="shared" si="5"/>
        <v/>
      </c>
      <c r="U9" s="25" t="str">
        <f t="shared" si="5"/>
        <v/>
      </c>
      <c r="V9" s="25" t="str">
        <f t="shared" si="5"/>
        <v/>
      </c>
      <c r="W9" s="25" t="str">
        <f t="shared" si="5"/>
        <v/>
      </c>
      <c r="X9" s="25" t="str">
        <f t="shared" si="5"/>
        <v/>
      </c>
      <c r="Y9" s="25" t="str">
        <f t="shared" si="5"/>
        <v/>
      </c>
      <c r="Z9" s="25" t="str">
        <f t="shared" si="5"/>
        <v/>
      </c>
    </row>
    <row r="10" spans="2:26" x14ac:dyDescent="0.25">
      <c r="B10" s="41"/>
      <c r="C10" s="43"/>
      <c r="D10" s="44"/>
      <c r="E10" s="44"/>
      <c r="F10" s="41"/>
      <c r="G10" s="41"/>
      <c r="H10" s="4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2:26" x14ac:dyDescent="0.25">
      <c r="B11" s="19" t="s">
        <v>145</v>
      </c>
      <c r="C11" s="21" t="s">
        <v>147</v>
      </c>
      <c r="D11" s="22">
        <f>MIN(D12:D16)</f>
        <v>46336</v>
      </c>
      <c r="E11" s="22">
        <f>MAX(E12:E16)</f>
        <v>46358</v>
      </c>
      <c r="F11" s="19"/>
      <c r="G11" s="19" t="s">
        <v>10</v>
      </c>
      <c r="H11" s="19"/>
      <c r="I11" s="25" t="str">
        <f t="shared" ref="I11:Z11" si="6">IF(AND($G11="Milestone",$D11&gt;=I$4,$D11&lt;=I$4+6),"◆","")</f>
        <v/>
      </c>
      <c r="J11" s="25" t="str">
        <f t="shared" si="6"/>
        <v/>
      </c>
      <c r="K11" s="25" t="str">
        <f t="shared" si="6"/>
        <v/>
      </c>
      <c r="L11" s="25" t="str">
        <f t="shared" si="6"/>
        <v/>
      </c>
      <c r="M11" s="25" t="str">
        <f t="shared" si="6"/>
        <v/>
      </c>
      <c r="N11" s="25" t="str">
        <f t="shared" si="6"/>
        <v/>
      </c>
      <c r="O11" s="25" t="str">
        <f t="shared" si="6"/>
        <v/>
      </c>
      <c r="P11" s="25" t="str">
        <f t="shared" si="6"/>
        <v/>
      </c>
      <c r="Q11" s="25" t="str">
        <f t="shared" si="6"/>
        <v/>
      </c>
      <c r="R11" s="25" t="str">
        <f t="shared" si="6"/>
        <v/>
      </c>
      <c r="S11" s="25" t="str">
        <f t="shared" si="6"/>
        <v/>
      </c>
      <c r="T11" s="25" t="str">
        <f t="shared" si="6"/>
        <v/>
      </c>
      <c r="U11" s="25" t="str">
        <f t="shared" si="6"/>
        <v/>
      </c>
      <c r="V11" s="25" t="str">
        <f t="shared" si="6"/>
        <v/>
      </c>
      <c r="W11" s="25" t="str">
        <f t="shared" si="6"/>
        <v/>
      </c>
      <c r="X11" s="25" t="str">
        <f t="shared" si="6"/>
        <v/>
      </c>
      <c r="Y11" s="25" t="str">
        <f t="shared" si="6"/>
        <v/>
      </c>
      <c r="Z11" s="25" t="str">
        <f t="shared" si="6"/>
        <v/>
      </c>
    </row>
    <row r="12" spans="2:26" x14ac:dyDescent="0.25">
      <c r="B12" s="32" t="str">
        <f>Schedule!B10</f>
        <v>A04</v>
      </c>
      <c r="C12" s="33" t="str">
        <f>Schedule!C10</f>
        <v>Data profiling and quality assessment</v>
      </c>
      <c r="D12" s="34">
        <f>Schedule!F10</f>
        <v>46336</v>
      </c>
      <c r="E12" s="34">
        <f>Schedule!G10</f>
        <v>46342</v>
      </c>
      <c r="F12" s="32" t="str">
        <f>Schedule!O10</f>
        <v>Yes</v>
      </c>
      <c r="G12" s="32" t="s">
        <v>66</v>
      </c>
      <c r="H12" s="32" t="str">
        <f>Schedule!H10</f>
        <v>M1</v>
      </c>
      <c r="I12" s="25" t="str">
        <f t="shared" ref="I12:Z12" si="7">IF(AND($G12="Milestone",$D12&gt;=I$4,$D12&lt;=I$4+6),"◆","")</f>
        <v/>
      </c>
      <c r="J12" s="25" t="str">
        <f t="shared" si="7"/>
        <v/>
      </c>
      <c r="K12" s="25" t="str">
        <f t="shared" si="7"/>
        <v/>
      </c>
      <c r="L12" s="25" t="str">
        <f t="shared" si="7"/>
        <v/>
      </c>
      <c r="M12" s="25" t="str">
        <f t="shared" si="7"/>
        <v/>
      </c>
      <c r="N12" s="25" t="str">
        <f t="shared" si="7"/>
        <v/>
      </c>
      <c r="O12" s="25" t="str">
        <f t="shared" si="7"/>
        <v/>
      </c>
      <c r="P12" s="25" t="str">
        <f t="shared" si="7"/>
        <v/>
      </c>
      <c r="Q12" s="25" t="str">
        <f t="shared" si="7"/>
        <v/>
      </c>
      <c r="R12" s="25" t="str">
        <f t="shared" si="7"/>
        <v/>
      </c>
      <c r="S12" s="25" t="str">
        <f t="shared" si="7"/>
        <v/>
      </c>
      <c r="T12" s="25" t="str">
        <f t="shared" si="7"/>
        <v/>
      </c>
      <c r="U12" s="25" t="str">
        <f t="shared" si="7"/>
        <v/>
      </c>
      <c r="V12" s="25" t="str">
        <f t="shared" si="7"/>
        <v/>
      </c>
      <c r="W12" s="25" t="str">
        <f t="shared" si="7"/>
        <v/>
      </c>
      <c r="X12" s="25" t="str">
        <f t="shared" si="7"/>
        <v/>
      </c>
      <c r="Y12" s="25" t="str">
        <f t="shared" si="7"/>
        <v/>
      </c>
      <c r="Z12" s="25" t="str">
        <f t="shared" si="7"/>
        <v/>
      </c>
    </row>
    <row r="13" spans="2:26" x14ac:dyDescent="0.25">
      <c r="B13" s="32" t="str">
        <f>Schedule!B11</f>
        <v>A05</v>
      </c>
      <c r="C13" s="33" t="str">
        <f>Schedule!C11</f>
        <v>Data cleaning and standardisation</v>
      </c>
      <c r="D13" s="34">
        <f>Schedule!F11</f>
        <v>46343</v>
      </c>
      <c r="E13" s="34">
        <f>Schedule!G11</f>
        <v>46352</v>
      </c>
      <c r="F13" s="32" t="str">
        <f>Schedule!O11</f>
        <v>Yes</v>
      </c>
      <c r="G13" s="32" t="s">
        <v>66</v>
      </c>
      <c r="H13" s="32" t="str">
        <f>Schedule!H11</f>
        <v>A04</v>
      </c>
      <c r="I13" s="25" t="str">
        <f t="shared" ref="I13:Z13" si="8">IF(AND($G13="Milestone",$D13&gt;=I$4,$D13&lt;=I$4+6),"◆","")</f>
        <v/>
      </c>
      <c r="J13" s="25" t="str">
        <f t="shared" si="8"/>
        <v/>
      </c>
      <c r="K13" s="25" t="str">
        <f t="shared" si="8"/>
        <v/>
      </c>
      <c r="L13" s="25" t="str">
        <f t="shared" si="8"/>
        <v/>
      </c>
      <c r="M13" s="25" t="str">
        <f t="shared" si="8"/>
        <v/>
      </c>
      <c r="N13" s="25" t="str">
        <f t="shared" si="8"/>
        <v/>
      </c>
      <c r="O13" s="25" t="str">
        <f t="shared" si="8"/>
        <v/>
      </c>
      <c r="P13" s="25" t="str">
        <f t="shared" si="8"/>
        <v/>
      </c>
      <c r="Q13" s="25" t="str">
        <f t="shared" si="8"/>
        <v/>
      </c>
      <c r="R13" s="25" t="str">
        <f t="shared" si="8"/>
        <v/>
      </c>
      <c r="S13" s="25" t="str">
        <f t="shared" si="8"/>
        <v/>
      </c>
      <c r="T13" s="25" t="str">
        <f t="shared" si="8"/>
        <v/>
      </c>
      <c r="U13" s="25" t="str">
        <f t="shared" si="8"/>
        <v/>
      </c>
      <c r="V13" s="25" t="str">
        <f t="shared" si="8"/>
        <v/>
      </c>
      <c r="W13" s="25" t="str">
        <f t="shared" si="8"/>
        <v/>
      </c>
      <c r="X13" s="25" t="str">
        <f t="shared" si="8"/>
        <v/>
      </c>
      <c r="Y13" s="25" t="str">
        <f t="shared" si="8"/>
        <v/>
      </c>
      <c r="Z13" s="25" t="str">
        <f t="shared" si="8"/>
        <v/>
      </c>
    </row>
    <row r="14" spans="2:26" x14ac:dyDescent="0.25">
      <c r="B14" s="32" t="str">
        <f>Schedule!B12</f>
        <v>A06</v>
      </c>
      <c r="C14" s="33" t="str">
        <f>Schedule!C12</f>
        <v>Data validation and reconciliation checks</v>
      </c>
      <c r="D14" s="34">
        <f>Schedule!F12</f>
        <v>46353</v>
      </c>
      <c r="E14" s="34">
        <f>Schedule!G12</f>
        <v>46358</v>
      </c>
      <c r="F14" s="32" t="str">
        <f>Schedule!O12</f>
        <v>Yes</v>
      </c>
      <c r="G14" s="32" t="s">
        <v>66</v>
      </c>
      <c r="H14" s="32" t="str">
        <f>Schedule!H12</f>
        <v>A05</v>
      </c>
      <c r="I14" s="25" t="str">
        <f t="shared" ref="I14:Z14" si="9">IF(AND($G14="Milestone",$D14&gt;=I$4,$D14&lt;=I$4+6),"◆","")</f>
        <v/>
      </c>
      <c r="J14" s="25" t="str">
        <f t="shared" si="9"/>
        <v/>
      </c>
      <c r="K14" s="25" t="str">
        <f t="shared" si="9"/>
        <v/>
      </c>
      <c r="L14" s="25" t="str">
        <f t="shared" si="9"/>
        <v/>
      </c>
      <c r="M14" s="25" t="str">
        <f t="shared" si="9"/>
        <v/>
      </c>
      <c r="N14" s="25" t="str">
        <f t="shared" si="9"/>
        <v/>
      </c>
      <c r="O14" s="25" t="str">
        <f t="shared" si="9"/>
        <v/>
      </c>
      <c r="P14" s="25" t="str">
        <f t="shared" si="9"/>
        <v/>
      </c>
      <c r="Q14" s="25" t="str">
        <f t="shared" si="9"/>
        <v/>
      </c>
      <c r="R14" s="25" t="str">
        <f t="shared" si="9"/>
        <v/>
      </c>
      <c r="S14" s="25" t="str">
        <f t="shared" si="9"/>
        <v/>
      </c>
      <c r="T14" s="25" t="str">
        <f t="shared" si="9"/>
        <v/>
      </c>
      <c r="U14" s="25" t="str">
        <f t="shared" si="9"/>
        <v/>
      </c>
      <c r="V14" s="25" t="str">
        <f t="shared" si="9"/>
        <v/>
      </c>
      <c r="W14" s="25" t="str">
        <f t="shared" si="9"/>
        <v/>
      </c>
      <c r="X14" s="25" t="str">
        <f t="shared" si="9"/>
        <v/>
      </c>
      <c r="Y14" s="25" t="str">
        <f t="shared" si="9"/>
        <v/>
      </c>
      <c r="Z14" s="25" t="str">
        <f t="shared" si="9"/>
        <v/>
      </c>
    </row>
    <row r="15" spans="2:26" x14ac:dyDescent="0.25">
      <c r="B15" s="32" t="str">
        <f>Schedule!B13</f>
        <v>A07</v>
      </c>
      <c r="C15" s="33" t="str">
        <f>Schedule!C13</f>
        <v>Requirements workshops with ShopSmart managers</v>
      </c>
      <c r="D15" s="34">
        <f>Schedule!F13</f>
        <v>46336</v>
      </c>
      <c r="E15" s="34">
        <f>Schedule!G13</f>
        <v>46343</v>
      </c>
      <c r="F15" s="32" t="str">
        <f>Schedule!O13</f>
        <v>No</v>
      </c>
      <c r="G15" s="32" t="s">
        <v>66</v>
      </c>
      <c r="H15" s="32" t="str">
        <f>Schedule!H13</f>
        <v>M1</v>
      </c>
      <c r="I15" s="25" t="str">
        <f t="shared" ref="I15:Z15" si="10">IF(AND($G15="Milestone",$D15&gt;=I$4,$D15&lt;=I$4+6),"◆","")</f>
        <v/>
      </c>
      <c r="J15" s="25" t="str">
        <f t="shared" si="10"/>
        <v/>
      </c>
      <c r="K15" s="25" t="str">
        <f t="shared" si="10"/>
        <v/>
      </c>
      <c r="L15" s="25" t="str">
        <f t="shared" si="10"/>
        <v/>
      </c>
      <c r="M15" s="25" t="str">
        <f t="shared" si="10"/>
        <v/>
      </c>
      <c r="N15" s="25" t="str">
        <f t="shared" si="10"/>
        <v/>
      </c>
      <c r="O15" s="25" t="str">
        <f t="shared" si="10"/>
        <v/>
      </c>
      <c r="P15" s="25" t="str">
        <f t="shared" si="10"/>
        <v/>
      </c>
      <c r="Q15" s="25" t="str">
        <f t="shared" si="10"/>
        <v/>
      </c>
      <c r="R15" s="25" t="str">
        <f t="shared" si="10"/>
        <v/>
      </c>
      <c r="S15" s="25" t="str">
        <f t="shared" si="10"/>
        <v/>
      </c>
      <c r="T15" s="25" t="str">
        <f t="shared" si="10"/>
        <v/>
      </c>
      <c r="U15" s="25" t="str">
        <f t="shared" si="10"/>
        <v/>
      </c>
      <c r="V15" s="25" t="str">
        <f t="shared" si="10"/>
        <v/>
      </c>
      <c r="W15" s="25" t="str">
        <f t="shared" si="10"/>
        <v/>
      </c>
      <c r="X15" s="25" t="str">
        <f t="shared" si="10"/>
        <v/>
      </c>
      <c r="Y15" s="25" t="str">
        <f t="shared" si="10"/>
        <v/>
      </c>
      <c r="Z15" s="25" t="str">
        <f t="shared" si="10"/>
        <v/>
      </c>
    </row>
    <row r="16" spans="2:26" x14ac:dyDescent="0.25">
      <c r="B16" s="32" t="str">
        <f>Schedule!B15</f>
        <v>M2</v>
      </c>
      <c r="C16" s="33" t="str">
        <f>Schedule!C15</f>
        <v>Milestone: Clean Dataset and Requirements Baselined</v>
      </c>
      <c r="D16" s="34">
        <f>Schedule!F15</f>
        <v>46358</v>
      </c>
      <c r="E16" s="34">
        <f>Schedule!G15</f>
        <v>46358</v>
      </c>
      <c r="F16" s="32" t="str">
        <f>Schedule!O15</f>
        <v>Yes</v>
      </c>
      <c r="G16" s="32" t="s">
        <v>112</v>
      </c>
      <c r="H16" s="32" t="str">
        <f>Schedule!H15</f>
        <v>A06, A07</v>
      </c>
      <c r="I16" s="25" t="str">
        <f t="shared" ref="I16:Z16" si="11">IF(AND($G16="Milestone",$D16&gt;=I$4,$D16&lt;=I$4+6),"◆","")</f>
        <v/>
      </c>
      <c r="J16" s="25" t="str">
        <f t="shared" si="11"/>
        <v/>
      </c>
      <c r="K16" s="25" t="str">
        <f t="shared" si="11"/>
        <v/>
      </c>
      <c r="L16" s="25" t="str">
        <f t="shared" si="11"/>
        <v/>
      </c>
      <c r="M16" s="25" t="str">
        <f t="shared" si="11"/>
        <v>◆</v>
      </c>
      <c r="N16" s="25" t="str">
        <f t="shared" si="11"/>
        <v/>
      </c>
      <c r="O16" s="25" t="str">
        <f t="shared" si="11"/>
        <v/>
      </c>
      <c r="P16" s="25" t="str">
        <f t="shared" si="11"/>
        <v/>
      </c>
      <c r="Q16" s="25" t="str">
        <f t="shared" si="11"/>
        <v/>
      </c>
      <c r="R16" s="25" t="str">
        <f t="shared" si="11"/>
        <v/>
      </c>
      <c r="S16" s="25" t="str">
        <f t="shared" si="11"/>
        <v/>
      </c>
      <c r="T16" s="25" t="str">
        <f t="shared" si="11"/>
        <v/>
      </c>
      <c r="U16" s="25" t="str">
        <f t="shared" si="11"/>
        <v/>
      </c>
      <c r="V16" s="25" t="str">
        <f t="shared" si="11"/>
        <v/>
      </c>
      <c r="W16" s="25" t="str">
        <f t="shared" si="11"/>
        <v/>
      </c>
      <c r="X16" s="25" t="str">
        <f t="shared" si="11"/>
        <v/>
      </c>
      <c r="Y16" s="25" t="str">
        <f t="shared" si="11"/>
        <v/>
      </c>
      <c r="Z16" s="25" t="str">
        <f t="shared" si="11"/>
        <v/>
      </c>
    </row>
    <row r="17" spans="2:26" x14ac:dyDescent="0.25">
      <c r="B17" s="41"/>
      <c r="C17" s="41"/>
      <c r="D17" s="41"/>
      <c r="E17" s="41"/>
      <c r="F17" s="41"/>
      <c r="G17" s="41"/>
      <c r="H17" s="41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2:26" x14ac:dyDescent="0.25">
      <c r="B18" s="19" t="s">
        <v>221</v>
      </c>
      <c r="C18" s="21" t="s">
        <v>222</v>
      </c>
      <c r="D18" s="22">
        <f>MIN(D19:D26)</f>
        <v>46359</v>
      </c>
      <c r="E18" s="22">
        <f>MAX(E19:E26)</f>
        <v>46386</v>
      </c>
      <c r="F18" s="19"/>
      <c r="G18" s="19" t="s">
        <v>10</v>
      </c>
      <c r="H18" s="19"/>
      <c r="I18" s="25" t="str">
        <f t="shared" ref="I18:Z18" si="12">IF(AND($G18="Milestone",$D18&gt;=I$4,$D18&lt;=I$4+6),"◆","")</f>
        <v/>
      </c>
      <c r="J18" s="25" t="str">
        <f t="shared" si="12"/>
        <v/>
      </c>
      <c r="K18" s="25" t="str">
        <f t="shared" si="12"/>
        <v/>
      </c>
      <c r="L18" s="25" t="str">
        <f t="shared" si="12"/>
        <v/>
      </c>
      <c r="M18" s="25" t="str">
        <f t="shared" si="12"/>
        <v/>
      </c>
      <c r="N18" s="25" t="str">
        <f t="shared" si="12"/>
        <v/>
      </c>
      <c r="O18" s="25" t="str">
        <f t="shared" si="12"/>
        <v/>
      </c>
      <c r="P18" s="25" t="str">
        <f t="shared" si="12"/>
        <v/>
      </c>
      <c r="Q18" s="25" t="str">
        <f t="shared" si="12"/>
        <v/>
      </c>
      <c r="R18" s="25" t="str">
        <f t="shared" si="12"/>
        <v/>
      </c>
      <c r="S18" s="25" t="str">
        <f t="shared" si="12"/>
        <v/>
      </c>
      <c r="T18" s="25" t="str">
        <f t="shared" si="12"/>
        <v/>
      </c>
      <c r="U18" s="25" t="str">
        <f t="shared" si="12"/>
        <v/>
      </c>
      <c r="V18" s="25" t="str">
        <f t="shared" si="12"/>
        <v/>
      </c>
      <c r="W18" s="25" t="str">
        <f t="shared" si="12"/>
        <v/>
      </c>
      <c r="X18" s="25" t="str">
        <f t="shared" si="12"/>
        <v/>
      </c>
      <c r="Y18" s="25" t="str">
        <f t="shared" si="12"/>
        <v/>
      </c>
      <c r="Z18" s="25" t="str">
        <f t="shared" si="12"/>
        <v/>
      </c>
    </row>
    <row r="19" spans="2:26" x14ac:dyDescent="0.25">
      <c r="B19" s="32" t="str">
        <f>Schedule!B16</f>
        <v>A08</v>
      </c>
      <c r="C19" s="33" t="str">
        <f>Schedule!C16</f>
        <v>Exploratory data analysis and statistical insights</v>
      </c>
      <c r="D19" s="34">
        <f>Schedule!F16</f>
        <v>46359</v>
      </c>
      <c r="E19" s="34">
        <f>Schedule!G16</f>
        <v>46367</v>
      </c>
      <c r="F19" s="32" t="str">
        <f>Schedule!O16</f>
        <v>Yes</v>
      </c>
      <c r="G19" s="32" t="s">
        <v>66</v>
      </c>
      <c r="H19" s="32" t="str">
        <f>Schedule!H16</f>
        <v>M2</v>
      </c>
      <c r="I19" s="25" t="str">
        <f t="shared" ref="I19:Z19" si="13">IF(AND($G19="Milestone",$D19&gt;=I$4,$D19&lt;=I$4+6),"◆","")</f>
        <v/>
      </c>
      <c r="J19" s="25" t="str">
        <f t="shared" si="13"/>
        <v/>
      </c>
      <c r="K19" s="25" t="str">
        <f t="shared" si="13"/>
        <v/>
      </c>
      <c r="L19" s="25" t="str">
        <f t="shared" si="13"/>
        <v/>
      </c>
      <c r="M19" s="25" t="str">
        <f t="shared" si="13"/>
        <v/>
      </c>
      <c r="N19" s="25" t="str">
        <f t="shared" si="13"/>
        <v/>
      </c>
      <c r="O19" s="25" t="str">
        <f t="shared" si="13"/>
        <v/>
      </c>
      <c r="P19" s="25" t="str">
        <f t="shared" si="13"/>
        <v/>
      </c>
      <c r="Q19" s="25" t="str">
        <f t="shared" si="13"/>
        <v/>
      </c>
      <c r="R19" s="25" t="str">
        <f t="shared" si="13"/>
        <v/>
      </c>
      <c r="S19" s="25" t="str">
        <f t="shared" si="13"/>
        <v/>
      </c>
      <c r="T19" s="25" t="str">
        <f t="shared" si="13"/>
        <v/>
      </c>
      <c r="U19" s="25" t="str">
        <f t="shared" si="13"/>
        <v/>
      </c>
      <c r="V19" s="25" t="str">
        <f t="shared" si="13"/>
        <v/>
      </c>
      <c r="W19" s="25" t="str">
        <f t="shared" si="13"/>
        <v/>
      </c>
      <c r="X19" s="25" t="str">
        <f t="shared" si="13"/>
        <v/>
      </c>
      <c r="Y19" s="25" t="str">
        <f t="shared" si="13"/>
        <v/>
      </c>
      <c r="Z19" s="25" t="str">
        <f t="shared" si="13"/>
        <v/>
      </c>
    </row>
    <row r="20" spans="2:26" x14ac:dyDescent="0.25">
      <c r="B20" s="32" t="str">
        <f>Schedule!B17</f>
        <v>A09</v>
      </c>
      <c r="C20" s="33" t="str">
        <f>Schedule!C17</f>
        <v>Sales dashboard development</v>
      </c>
      <c r="D20" s="34">
        <f>Schedule!F17</f>
        <v>46359</v>
      </c>
      <c r="E20" s="34">
        <f>Schedule!G17</f>
        <v>46370</v>
      </c>
      <c r="F20" s="32" t="str">
        <f>Schedule!O17</f>
        <v>No</v>
      </c>
      <c r="G20" s="32" t="s">
        <v>66</v>
      </c>
      <c r="H20" s="32" t="str">
        <f>Schedule!H17</f>
        <v>M2</v>
      </c>
      <c r="I20" s="25" t="str">
        <f t="shared" ref="I20:Z20" si="14">IF(AND($G20="Milestone",$D20&gt;=I$4,$D20&lt;=I$4+6),"◆","")</f>
        <v/>
      </c>
      <c r="J20" s="25" t="str">
        <f t="shared" si="14"/>
        <v/>
      </c>
      <c r="K20" s="25" t="str">
        <f t="shared" si="14"/>
        <v/>
      </c>
      <c r="L20" s="25" t="str">
        <f t="shared" si="14"/>
        <v/>
      </c>
      <c r="M20" s="25" t="str">
        <f t="shared" si="14"/>
        <v/>
      </c>
      <c r="N20" s="25" t="str">
        <f t="shared" si="14"/>
        <v/>
      </c>
      <c r="O20" s="25" t="str">
        <f t="shared" si="14"/>
        <v/>
      </c>
      <c r="P20" s="25" t="str">
        <f t="shared" si="14"/>
        <v/>
      </c>
      <c r="Q20" s="25" t="str">
        <f t="shared" si="14"/>
        <v/>
      </c>
      <c r="R20" s="25" t="str">
        <f t="shared" si="14"/>
        <v/>
      </c>
      <c r="S20" s="25" t="str">
        <f t="shared" si="14"/>
        <v/>
      </c>
      <c r="T20" s="25" t="str">
        <f t="shared" si="14"/>
        <v/>
      </c>
      <c r="U20" s="25" t="str">
        <f t="shared" si="14"/>
        <v/>
      </c>
      <c r="V20" s="25" t="str">
        <f t="shared" si="14"/>
        <v/>
      </c>
      <c r="W20" s="25" t="str">
        <f t="shared" si="14"/>
        <v/>
      </c>
      <c r="X20" s="25" t="str">
        <f t="shared" si="14"/>
        <v/>
      </c>
      <c r="Y20" s="25" t="str">
        <f t="shared" si="14"/>
        <v/>
      </c>
      <c r="Z20" s="25" t="str">
        <f t="shared" si="14"/>
        <v/>
      </c>
    </row>
    <row r="21" spans="2:26" x14ac:dyDescent="0.25">
      <c r="B21" s="32" t="str">
        <f>Schedule!B18</f>
        <v>A10</v>
      </c>
      <c r="C21" s="33" t="str">
        <f>Schedule!C18</f>
        <v>Customer dashboard development</v>
      </c>
      <c r="D21" s="34">
        <f>Schedule!F18</f>
        <v>46359</v>
      </c>
      <c r="E21" s="34">
        <f>Schedule!G18</f>
        <v>46367</v>
      </c>
      <c r="F21" s="32" t="str">
        <f>Schedule!O18</f>
        <v>No</v>
      </c>
      <c r="G21" s="32" t="s">
        <v>66</v>
      </c>
      <c r="H21" s="32" t="str">
        <f>Schedule!H18</f>
        <v>M2</v>
      </c>
      <c r="I21" s="25" t="str">
        <f t="shared" ref="I21:Z21" si="15">IF(AND($G21="Milestone",$D21&gt;=I$4,$D21&lt;=I$4+6),"◆","")</f>
        <v/>
      </c>
      <c r="J21" s="25" t="str">
        <f t="shared" si="15"/>
        <v/>
      </c>
      <c r="K21" s="25" t="str">
        <f t="shared" si="15"/>
        <v/>
      </c>
      <c r="L21" s="25" t="str">
        <f t="shared" si="15"/>
        <v/>
      </c>
      <c r="M21" s="25" t="str">
        <f t="shared" si="15"/>
        <v/>
      </c>
      <c r="N21" s="25" t="str">
        <f t="shared" si="15"/>
        <v/>
      </c>
      <c r="O21" s="25" t="str">
        <f t="shared" si="15"/>
        <v/>
      </c>
      <c r="P21" s="25" t="str">
        <f t="shared" si="15"/>
        <v/>
      </c>
      <c r="Q21" s="25" t="str">
        <f t="shared" si="15"/>
        <v/>
      </c>
      <c r="R21" s="25" t="str">
        <f t="shared" si="15"/>
        <v/>
      </c>
      <c r="S21" s="25" t="str">
        <f t="shared" si="15"/>
        <v/>
      </c>
      <c r="T21" s="25" t="str">
        <f t="shared" si="15"/>
        <v/>
      </c>
      <c r="U21" s="25" t="str">
        <f t="shared" si="15"/>
        <v/>
      </c>
      <c r="V21" s="25" t="str">
        <f t="shared" si="15"/>
        <v/>
      </c>
      <c r="W21" s="25" t="str">
        <f t="shared" si="15"/>
        <v/>
      </c>
      <c r="X21" s="25" t="str">
        <f t="shared" si="15"/>
        <v/>
      </c>
      <c r="Y21" s="25" t="str">
        <f t="shared" si="15"/>
        <v/>
      </c>
      <c r="Z21" s="25" t="str">
        <f t="shared" si="15"/>
        <v/>
      </c>
    </row>
    <row r="22" spans="2:26" x14ac:dyDescent="0.25">
      <c r="B22" s="32" t="str">
        <f>Schedule!B19</f>
        <v>A11</v>
      </c>
      <c r="C22" s="33" t="str">
        <f>Schedule!C19</f>
        <v>Store performance dashboard development</v>
      </c>
      <c r="D22" s="34">
        <f>Schedule!F19</f>
        <v>46371</v>
      </c>
      <c r="E22" s="34">
        <f>Schedule!G19</f>
        <v>46378</v>
      </c>
      <c r="F22" s="32" t="str">
        <f>Schedule!O19</f>
        <v>No</v>
      </c>
      <c r="G22" s="32" t="s">
        <v>66</v>
      </c>
      <c r="H22" s="32" t="str">
        <f>Schedule!H19</f>
        <v>A09</v>
      </c>
      <c r="I22" s="25" t="str">
        <f t="shared" ref="I22:Z22" si="16">IF(AND($G22="Milestone",$D22&gt;=I$4,$D22&lt;=I$4+6),"◆","")</f>
        <v/>
      </c>
      <c r="J22" s="25" t="str">
        <f t="shared" si="16"/>
        <v/>
      </c>
      <c r="K22" s="25" t="str">
        <f t="shared" si="16"/>
        <v/>
      </c>
      <c r="L22" s="25" t="str">
        <f t="shared" si="16"/>
        <v/>
      </c>
      <c r="M22" s="25" t="str">
        <f t="shared" si="16"/>
        <v/>
      </c>
      <c r="N22" s="25" t="str">
        <f t="shared" si="16"/>
        <v/>
      </c>
      <c r="O22" s="25" t="str">
        <f t="shared" si="16"/>
        <v/>
      </c>
      <c r="P22" s="25" t="str">
        <f t="shared" si="16"/>
        <v/>
      </c>
      <c r="Q22" s="25" t="str">
        <f t="shared" si="16"/>
        <v/>
      </c>
      <c r="R22" s="25" t="str">
        <f t="shared" si="16"/>
        <v/>
      </c>
      <c r="S22" s="25" t="str">
        <f t="shared" si="16"/>
        <v/>
      </c>
      <c r="T22" s="25" t="str">
        <f t="shared" si="16"/>
        <v/>
      </c>
      <c r="U22" s="25" t="str">
        <f t="shared" si="16"/>
        <v/>
      </c>
      <c r="V22" s="25" t="str">
        <f t="shared" si="16"/>
        <v/>
      </c>
      <c r="W22" s="25" t="str">
        <f t="shared" si="16"/>
        <v/>
      </c>
      <c r="X22" s="25" t="str">
        <f t="shared" si="16"/>
        <v/>
      </c>
      <c r="Y22" s="25" t="str">
        <f t="shared" si="16"/>
        <v/>
      </c>
      <c r="Z22" s="25" t="str">
        <f t="shared" si="16"/>
        <v/>
      </c>
    </row>
    <row r="23" spans="2:26" ht="15.75" customHeight="1" x14ac:dyDescent="0.25">
      <c r="B23" s="32" t="str">
        <f>Schedule!B20</f>
        <v>A12</v>
      </c>
      <c r="C23" s="33" t="str">
        <f>Schedule!C20</f>
        <v>Inventory dashboard development</v>
      </c>
      <c r="D23" s="34">
        <f>Schedule!F20</f>
        <v>46370</v>
      </c>
      <c r="E23" s="34">
        <f>Schedule!G20</f>
        <v>46377</v>
      </c>
      <c r="F23" s="32" t="str">
        <f>Schedule!O20</f>
        <v>No</v>
      </c>
      <c r="G23" s="32" t="s">
        <v>66</v>
      </c>
      <c r="H23" s="32" t="str">
        <f>Schedule!H20</f>
        <v>A10</v>
      </c>
      <c r="I23" s="25" t="str">
        <f t="shared" ref="I23:Z23" si="17">IF(AND($G23="Milestone",$D23&gt;=I$4,$D23&lt;=I$4+6),"◆","")</f>
        <v/>
      </c>
      <c r="J23" s="25" t="str">
        <f t="shared" si="17"/>
        <v/>
      </c>
      <c r="K23" s="25" t="str">
        <f t="shared" si="17"/>
        <v/>
      </c>
      <c r="L23" s="25" t="str">
        <f t="shared" si="17"/>
        <v/>
      </c>
      <c r="M23" s="25" t="str">
        <f t="shared" si="17"/>
        <v/>
      </c>
      <c r="N23" s="25" t="str">
        <f t="shared" si="17"/>
        <v/>
      </c>
      <c r="O23" s="25" t="str">
        <f t="shared" si="17"/>
        <v/>
      </c>
      <c r="P23" s="25" t="str">
        <f t="shared" si="17"/>
        <v/>
      </c>
      <c r="Q23" s="25" t="str">
        <f t="shared" si="17"/>
        <v/>
      </c>
      <c r="R23" s="25" t="str">
        <f t="shared" si="17"/>
        <v/>
      </c>
      <c r="S23" s="25" t="str">
        <f t="shared" si="17"/>
        <v/>
      </c>
      <c r="T23" s="25" t="str">
        <f t="shared" si="17"/>
        <v/>
      </c>
      <c r="U23" s="25" t="str">
        <f t="shared" si="17"/>
        <v/>
      </c>
      <c r="V23" s="25" t="str">
        <f t="shared" si="17"/>
        <v/>
      </c>
      <c r="W23" s="25" t="str">
        <f t="shared" si="17"/>
        <v/>
      </c>
      <c r="X23" s="25" t="str">
        <f t="shared" si="17"/>
        <v/>
      </c>
      <c r="Y23" s="25" t="str">
        <f t="shared" si="17"/>
        <v/>
      </c>
      <c r="Z23" s="25" t="str">
        <f t="shared" si="17"/>
        <v/>
      </c>
    </row>
    <row r="24" spans="2:26" ht="15.75" customHeight="1" x14ac:dyDescent="0.25">
      <c r="B24" s="32" t="str">
        <f>Schedule!B21</f>
        <v>A13</v>
      </c>
      <c r="C24" s="33" t="str">
        <f>Schedule!C21</f>
        <v>Executive analytics report</v>
      </c>
      <c r="D24" s="34">
        <f>Schedule!F21</f>
        <v>46379</v>
      </c>
      <c r="E24" s="34">
        <f>Schedule!G21</f>
        <v>46386</v>
      </c>
      <c r="F24" s="32" t="str">
        <f>Schedule!O21</f>
        <v>No</v>
      </c>
      <c r="G24" s="32" t="s">
        <v>66</v>
      </c>
      <c r="H24" s="32" t="str">
        <f>Schedule!H21</f>
        <v>A11, A12</v>
      </c>
      <c r="I24" s="25" t="str">
        <f t="shared" ref="I24:Z24" si="18">IF(AND($G24="Milestone",$D24&gt;=I$4,$D24&lt;=I$4+6),"◆","")</f>
        <v/>
      </c>
      <c r="J24" s="25" t="str">
        <f t="shared" si="18"/>
        <v/>
      </c>
      <c r="K24" s="25" t="str">
        <f t="shared" si="18"/>
        <v/>
      </c>
      <c r="L24" s="25" t="str">
        <f t="shared" si="18"/>
        <v/>
      </c>
      <c r="M24" s="25" t="str">
        <f t="shared" si="18"/>
        <v/>
      </c>
      <c r="N24" s="25" t="str">
        <f t="shared" si="18"/>
        <v/>
      </c>
      <c r="O24" s="25" t="str">
        <f t="shared" si="18"/>
        <v/>
      </c>
      <c r="P24" s="25" t="str">
        <f t="shared" si="18"/>
        <v/>
      </c>
      <c r="Q24" s="25" t="str">
        <f t="shared" si="18"/>
        <v/>
      </c>
      <c r="R24" s="25" t="str">
        <f t="shared" si="18"/>
        <v/>
      </c>
      <c r="S24" s="25" t="str">
        <f t="shared" si="18"/>
        <v/>
      </c>
      <c r="T24" s="25" t="str">
        <f t="shared" si="18"/>
        <v/>
      </c>
      <c r="U24" s="25" t="str">
        <f t="shared" si="18"/>
        <v/>
      </c>
      <c r="V24" s="25" t="str">
        <f t="shared" si="18"/>
        <v/>
      </c>
      <c r="W24" s="25" t="str">
        <f t="shared" si="18"/>
        <v/>
      </c>
      <c r="X24" s="25" t="str">
        <f t="shared" si="18"/>
        <v/>
      </c>
      <c r="Y24" s="25" t="str">
        <f t="shared" si="18"/>
        <v/>
      </c>
      <c r="Z24" s="25" t="str">
        <f t="shared" si="18"/>
        <v/>
      </c>
    </row>
    <row r="25" spans="2:26" ht="15.75" customHeight="1" x14ac:dyDescent="0.25">
      <c r="B25" s="32" t="str">
        <f>Schedule!B22</f>
        <v>A14</v>
      </c>
      <c r="C25" s="33" t="str">
        <f>Schedule!C22</f>
        <v>Feature engineering pipeline</v>
      </c>
      <c r="D25" s="34">
        <f>Schedule!F22</f>
        <v>46370</v>
      </c>
      <c r="E25" s="34">
        <f>Schedule!G22</f>
        <v>46379</v>
      </c>
      <c r="F25" s="32" t="str">
        <f>Schedule!O22</f>
        <v>Yes</v>
      </c>
      <c r="G25" s="32" t="s">
        <v>66</v>
      </c>
      <c r="H25" s="32" t="str">
        <f>Schedule!H22</f>
        <v>A08</v>
      </c>
      <c r="I25" s="25" t="str">
        <f t="shared" ref="I25:Z25" si="19">IF(AND($G25="Milestone",$D25&gt;=I$4,$D25&lt;=I$4+6),"◆","")</f>
        <v/>
      </c>
      <c r="J25" s="25" t="str">
        <f t="shared" si="19"/>
        <v/>
      </c>
      <c r="K25" s="25" t="str">
        <f t="shared" si="19"/>
        <v/>
      </c>
      <c r="L25" s="25" t="str">
        <f t="shared" si="19"/>
        <v/>
      </c>
      <c r="M25" s="25" t="str">
        <f t="shared" si="19"/>
        <v/>
      </c>
      <c r="N25" s="25" t="str">
        <f t="shared" si="19"/>
        <v/>
      </c>
      <c r="O25" s="25" t="str">
        <f t="shared" si="19"/>
        <v/>
      </c>
      <c r="P25" s="25" t="str">
        <f t="shared" si="19"/>
        <v/>
      </c>
      <c r="Q25" s="25" t="str">
        <f t="shared" si="19"/>
        <v/>
      </c>
      <c r="R25" s="25" t="str">
        <f t="shared" si="19"/>
        <v/>
      </c>
      <c r="S25" s="25" t="str">
        <f t="shared" si="19"/>
        <v/>
      </c>
      <c r="T25" s="25" t="str">
        <f t="shared" si="19"/>
        <v/>
      </c>
      <c r="U25" s="25" t="str">
        <f t="shared" si="19"/>
        <v/>
      </c>
      <c r="V25" s="25" t="str">
        <f t="shared" si="19"/>
        <v/>
      </c>
      <c r="W25" s="25" t="str">
        <f t="shared" si="19"/>
        <v/>
      </c>
      <c r="X25" s="25" t="str">
        <f t="shared" si="19"/>
        <v/>
      </c>
      <c r="Y25" s="25" t="str">
        <f t="shared" si="19"/>
        <v/>
      </c>
      <c r="Z25" s="25" t="str">
        <f t="shared" si="19"/>
        <v/>
      </c>
    </row>
    <row r="26" spans="2:26" ht="15.75" customHeight="1" x14ac:dyDescent="0.25">
      <c r="B26" s="32" t="str">
        <f>Schedule!B24</f>
        <v>M3</v>
      </c>
      <c r="C26" s="33" t="str">
        <f>Schedule!C24</f>
        <v>Milestone: Analytics and Feature Pipeline Complete</v>
      </c>
      <c r="D26" s="34">
        <f>Schedule!F24</f>
        <v>46386</v>
      </c>
      <c r="E26" s="34">
        <f>Schedule!G24</f>
        <v>46386</v>
      </c>
      <c r="F26" s="32" t="str">
        <f>Schedule!O24</f>
        <v>No</v>
      </c>
      <c r="G26" s="32" t="s">
        <v>112</v>
      </c>
      <c r="H26" s="32" t="str">
        <f>Schedule!H24</f>
        <v>A13, A14</v>
      </c>
      <c r="I26" s="25" t="str">
        <f t="shared" ref="I26:Z26" si="20">IF(AND($G26="Milestone",$D26&gt;=I$4,$D26&lt;=I$4+6),"◆","")</f>
        <v/>
      </c>
      <c r="J26" s="25" t="str">
        <f t="shared" si="20"/>
        <v/>
      </c>
      <c r="K26" s="25" t="str">
        <f t="shared" si="20"/>
        <v/>
      </c>
      <c r="L26" s="25" t="str">
        <f t="shared" si="20"/>
        <v/>
      </c>
      <c r="M26" s="25" t="str">
        <f t="shared" si="20"/>
        <v/>
      </c>
      <c r="N26" s="25" t="str">
        <f t="shared" si="20"/>
        <v/>
      </c>
      <c r="O26" s="25" t="str">
        <f t="shared" si="20"/>
        <v/>
      </c>
      <c r="P26" s="25" t="str">
        <f t="shared" si="20"/>
        <v/>
      </c>
      <c r="Q26" s="25" t="str">
        <f t="shared" si="20"/>
        <v>◆</v>
      </c>
      <c r="R26" s="25" t="str">
        <f t="shared" si="20"/>
        <v/>
      </c>
      <c r="S26" s="25" t="str">
        <f t="shared" si="20"/>
        <v/>
      </c>
      <c r="T26" s="25" t="str">
        <f t="shared" si="20"/>
        <v/>
      </c>
      <c r="U26" s="25" t="str">
        <f t="shared" si="20"/>
        <v/>
      </c>
      <c r="V26" s="25" t="str">
        <f t="shared" si="20"/>
        <v/>
      </c>
      <c r="W26" s="25" t="str">
        <f t="shared" si="20"/>
        <v/>
      </c>
      <c r="X26" s="25" t="str">
        <f t="shared" si="20"/>
        <v/>
      </c>
      <c r="Y26" s="25" t="str">
        <f t="shared" si="20"/>
        <v/>
      </c>
      <c r="Z26" s="25" t="str">
        <f t="shared" si="20"/>
        <v/>
      </c>
    </row>
    <row r="27" spans="2:26" ht="15.75" customHeight="1" x14ac:dyDescent="0.25">
      <c r="B27" s="41"/>
      <c r="C27" s="41"/>
      <c r="D27" s="41"/>
      <c r="E27" s="41"/>
      <c r="F27" s="41"/>
      <c r="G27" s="41"/>
      <c r="H27" s="41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2:26" ht="15.75" customHeight="1" x14ac:dyDescent="0.25">
      <c r="B28" s="19" t="s">
        <v>324</v>
      </c>
      <c r="C28" s="21" t="s">
        <v>325</v>
      </c>
      <c r="D28" s="22">
        <f>MIN(D29:D32)</f>
        <v>46380</v>
      </c>
      <c r="E28" s="22">
        <f>MAX(E29:E32)</f>
        <v>46413</v>
      </c>
      <c r="F28" s="19"/>
      <c r="G28" s="19" t="s">
        <v>10</v>
      </c>
      <c r="H28" s="19"/>
      <c r="I28" s="25" t="str">
        <f t="shared" ref="I28:Z28" si="21">IF(AND($G28="Milestone",$D28&gt;=I$4,$D28&lt;=I$4+6),"◆","")</f>
        <v/>
      </c>
      <c r="J28" s="25" t="str">
        <f t="shared" si="21"/>
        <v/>
      </c>
      <c r="K28" s="25" t="str">
        <f t="shared" si="21"/>
        <v/>
      </c>
      <c r="L28" s="25" t="str">
        <f t="shared" si="21"/>
        <v/>
      </c>
      <c r="M28" s="25" t="str">
        <f t="shared" si="21"/>
        <v/>
      </c>
      <c r="N28" s="25" t="str">
        <f t="shared" si="21"/>
        <v/>
      </c>
      <c r="O28" s="25" t="str">
        <f t="shared" si="21"/>
        <v/>
      </c>
      <c r="P28" s="25" t="str">
        <f t="shared" si="21"/>
        <v/>
      </c>
      <c r="Q28" s="25" t="str">
        <f t="shared" si="21"/>
        <v/>
      </c>
      <c r="R28" s="25" t="str">
        <f t="shared" si="21"/>
        <v/>
      </c>
      <c r="S28" s="25" t="str">
        <f t="shared" si="21"/>
        <v/>
      </c>
      <c r="T28" s="25" t="str">
        <f t="shared" si="21"/>
        <v/>
      </c>
      <c r="U28" s="25" t="str">
        <f t="shared" si="21"/>
        <v/>
      </c>
      <c r="V28" s="25" t="str">
        <f t="shared" si="21"/>
        <v/>
      </c>
      <c r="W28" s="25" t="str">
        <f t="shared" si="21"/>
        <v/>
      </c>
      <c r="X28" s="25" t="str">
        <f t="shared" si="21"/>
        <v/>
      </c>
      <c r="Y28" s="25" t="str">
        <f t="shared" si="21"/>
        <v/>
      </c>
      <c r="Z28" s="25" t="str">
        <f t="shared" si="21"/>
        <v/>
      </c>
    </row>
    <row r="29" spans="2:26" ht="15.75" customHeight="1" x14ac:dyDescent="0.25">
      <c r="B29" s="32" t="str">
        <f>Schedule!B25</f>
        <v>A15</v>
      </c>
      <c r="C29" s="33" t="str">
        <f>Schedule!C25</f>
        <v>Sales forecasting model development</v>
      </c>
      <c r="D29" s="34">
        <f>Schedule!F25</f>
        <v>46380</v>
      </c>
      <c r="E29" s="34">
        <f>Schedule!G25</f>
        <v>46400</v>
      </c>
      <c r="F29" s="32" t="str">
        <f>Schedule!O25</f>
        <v>No</v>
      </c>
      <c r="G29" s="32" t="s">
        <v>66</v>
      </c>
      <c r="H29" s="32" t="str">
        <f>Schedule!H25</f>
        <v>A14</v>
      </c>
      <c r="I29" s="25" t="str">
        <f t="shared" ref="I29:Z29" si="22">IF(AND($G29="Milestone",$D29&gt;=I$4,$D29&lt;=I$4+6),"◆","")</f>
        <v/>
      </c>
      <c r="J29" s="25" t="str">
        <f t="shared" si="22"/>
        <v/>
      </c>
      <c r="K29" s="25" t="str">
        <f t="shared" si="22"/>
        <v/>
      </c>
      <c r="L29" s="25" t="str">
        <f t="shared" si="22"/>
        <v/>
      </c>
      <c r="M29" s="25" t="str">
        <f t="shared" si="22"/>
        <v/>
      </c>
      <c r="N29" s="25" t="str">
        <f t="shared" si="22"/>
        <v/>
      </c>
      <c r="O29" s="25" t="str">
        <f t="shared" si="22"/>
        <v/>
      </c>
      <c r="P29" s="25" t="str">
        <f t="shared" si="22"/>
        <v/>
      </c>
      <c r="Q29" s="25" t="str">
        <f t="shared" si="22"/>
        <v/>
      </c>
      <c r="R29" s="25" t="str">
        <f t="shared" si="22"/>
        <v/>
      </c>
      <c r="S29" s="25" t="str">
        <f t="shared" si="22"/>
        <v/>
      </c>
      <c r="T29" s="25" t="str">
        <f t="shared" si="22"/>
        <v/>
      </c>
      <c r="U29" s="25" t="str">
        <f t="shared" si="22"/>
        <v/>
      </c>
      <c r="V29" s="25" t="str">
        <f t="shared" si="22"/>
        <v/>
      </c>
      <c r="W29" s="25" t="str">
        <f t="shared" si="22"/>
        <v/>
      </c>
      <c r="X29" s="25" t="str">
        <f t="shared" si="22"/>
        <v/>
      </c>
      <c r="Y29" s="25" t="str">
        <f t="shared" si="22"/>
        <v/>
      </c>
      <c r="Z29" s="25" t="str">
        <f t="shared" si="22"/>
        <v/>
      </c>
    </row>
    <row r="30" spans="2:26" ht="15.75" customHeight="1" x14ac:dyDescent="0.25">
      <c r="B30" s="32" t="str">
        <f>Schedule!B26</f>
        <v>A16</v>
      </c>
      <c r="C30" s="33" t="str">
        <f>Schedule!C26</f>
        <v>Customer segmentation model</v>
      </c>
      <c r="D30" s="34">
        <f>Schedule!F26</f>
        <v>46380</v>
      </c>
      <c r="E30" s="34">
        <f>Schedule!G26</f>
        <v>46394</v>
      </c>
      <c r="F30" s="32" t="str">
        <f>Schedule!O26</f>
        <v>Yes</v>
      </c>
      <c r="G30" s="32" t="s">
        <v>66</v>
      </c>
      <c r="H30" s="32" t="str">
        <f>Schedule!H26</f>
        <v>A14</v>
      </c>
      <c r="I30" s="25" t="str">
        <f t="shared" ref="I30:Z30" si="23">IF(AND($G30="Milestone",$D30&gt;=I$4,$D30&lt;=I$4+6),"◆","")</f>
        <v/>
      </c>
      <c r="J30" s="25" t="str">
        <f t="shared" si="23"/>
        <v/>
      </c>
      <c r="K30" s="25" t="str">
        <f t="shared" si="23"/>
        <v/>
      </c>
      <c r="L30" s="25" t="str">
        <f t="shared" si="23"/>
        <v/>
      </c>
      <c r="M30" s="25" t="str">
        <f t="shared" si="23"/>
        <v/>
      </c>
      <c r="N30" s="25" t="str">
        <f t="shared" si="23"/>
        <v/>
      </c>
      <c r="O30" s="25" t="str">
        <f t="shared" si="23"/>
        <v/>
      </c>
      <c r="P30" s="25" t="str">
        <f t="shared" si="23"/>
        <v/>
      </c>
      <c r="Q30" s="25" t="str">
        <f t="shared" si="23"/>
        <v/>
      </c>
      <c r="R30" s="25" t="str">
        <f t="shared" si="23"/>
        <v/>
      </c>
      <c r="S30" s="25" t="str">
        <f t="shared" si="23"/>
        <v/>
      </c>
      <c r="T30" s="25" t="str">
        <f t="shared" si="23"/>
        <v/>
      </c>
      <c r="U30" s="25" t="str">
        <f t="shared" si="23"/>
        <v/>
      </c>
      <c r="V30" s="25" t="str">
        <f t="shared" si="23"/>
        <v/>
      </c>
      <c r="W30" s="25" t="str">
        <f t="shared" si="23"/>
        <v/>
      </c>
      <c r="X30" s="25" t="str">
        <f t="shared" si="23"/>
        <v/>
      </c>
      <c r="Y30" s="25" t="str">
        <f t="shared" si="23"/>
        <v/>
      </c>
      <c r="Z30" s="25" t="str">
        <f t="shared" si="23"/>
        <v/>
      </c>
    </row>
    <row r="31" spans="2:26" ht="15.75" customHeight="1" x14ac:dyDescent="0.25">
      <c r="B31" s="32" t="str">
        <f>Schedule!B27</f>
        <v>A17</v>
      </c>
      <c r="C31" s="33" t="str">
        <f>Schedule!C27</f>
        <v>Product recommendation prototype</v>
      </c>
      <c r="D31" s="34">
        <f>Schedule!F27</f>
        <v>46395</v>
      </c>
      <c r="E31" s="34">
        <f>Schedule!G27</f>
        <v>46406</v>
      </c>
      <c r="F31" s="32" t="str">
        <f>Schedule!O27</f>
        <v>Yes</v>
      </c>
      <c r="G31" s="32" t="s">
        <v>66</v>
      </c>
      <c r="H31" s="32" t="str">
        <f>Schedule!H27</f>
        <v>A16</v>
      </c>
      <c r="I31" s="25" t="str">
        <f t="shared" ref="I31:Z31" si="24">IF(AND($G31="Milestone",$D31&gt;=I$4,$D31&lt;=I$4+6),"◆","")</f>
        <v/>
      </c>
      <c r="J31" s="25" t="str">
        <f t="shared" si="24"/>
        <v/>
      </c>
      <c r="K31" s="25" t="str">
        <f t="shared" si="24"/>
        <v/>
      </c>
      <c r="L31" s="25" t="str">
        <f t="shared" si="24"/>
        <v/>
      </c>
      <c r="M31" s="25" t="str">
        <f t="shared" si="24"/>
        <v/>
      </c>
      <c r="N31" s="25" t="str">
        <f t="shared" si="24"/>
        <v/>
      </c>
      <c r="O31" s="25" t="str">
        <f t="shared" si="24"/>
        <v/>
      </c>
      <c r="P31" s="25" t="str">
        <f t="shared" si="24"/>
        <v/>
      </c>
      <c r="Q31" s="25" t="str">
        <f t="shared" si="24"/>
        <v/>
      </c>
      <c r="R31" s="25" t="str">
        <f t="shared" si="24"/>
        <v/>
      </c>
      <c r="S31" s="25" t="str">
        <f t="shared" si="24"/>
        <v/>
      </c>
      <c r="T31" s="25" t="str">
        <f t="shared" si="24"/>
        <v/>
      </c>
      <c r="U31" s="25" t="str">
        <f t="shared" si="24"/>
        <v/>
      </c>
      <c r="V31" s="25" t="str">
        <f t="shared" si="24"/>
        <v/>
      </c>
      <c r="W31" s="25" t="str">
        <f t="shared" si="24"/>
        <v/>
      </c>
      <c r="X31" s="25" t="str">
        <f t="shared" si="24"/>
        <v/>
      </c>
      <c r="Y31" s="25" t="str">
        <f t="shared" si="24"/>
        <v/>
      </c>
      <c r="Z31" s="25" t="str">
        <f t="shared" si="24"/>
        <v/>
      </c>
    </row>
    <row r="32" spans="2:26" ht="15.75" customHeight="1" x14ac:dyDescent="0.25">
      <c r="B32" s="32" t="str">
        <f>Schedule!B28</f>
        <v>A18</v>
      </c>
      <c r="C32" s="33" t="str">
        <f>Schedule!C28</f>
        <v>Model evaluation and evaluation report</v>
      </c>
      <c r="D32" s="34">
        <f>Schedule!F28</f>
        <v>46407</v>
      </c>
      <c r="E32" s="34">
        <f>Schedule!G28</f>
        <v>46413</v>
      </c>
      <c r="F32" s="32" t="str">
        <f>Schedule!O28</f>
        <v>Yes</v>
      </c>
      <c r="G32" s="32" t="s">
        <v>66</v>
      </c>
      <c r="H32" s="32" t="str">
        <f>Schedule!H28</f>
        <v>A15, A17</v>
      </c>
      <c r="I32" s="25" t="str">
        <f t="shared" ref="I32:Z32" si="25">IF(AND($G32="Milestone",$D32&gt;=I$4,$D32&lt;=I$4+6),"◆","")</f>
        <v/>
      </c>
      <c r="J32" s="25" t="str">
        <f t="shared" si="25"/>
        <v/>
      </c>
      <c r="K32" s="25" t="str">
        <f t="shared" si="25"/>
        <v/>
      </c>
      <c r="L32" s="25" t="str">
        <f t="shared" si="25"/>
        <v/>
      </c>
      <c r="M32" s="25" t="str">
        <f t="shared" si="25"/>
        <v/>
      </c>
      <c r="N32" s="25" t="str">
        <f t="shared" si="25"/>
        <v/>
      </c>
      <c r="O32" s="25" t="str">
        <f t="shared" si="25"/>
        <v/>
      </c>
      <c r="P32" s="25" t="str">
        <f t="shared" si="25"/>
        <v/>
      </c>
      <c r="Q32" s="25" t="str">
        <f t="shared" si="25"/>
        <v/>
      </c>
      <c r="R32" s="25" t="str">
        <f t="shared" si="25"/>
        <v/>
      </c>
      <c r="S32" s="25" t="str">
        <f t="shared" si="25"/>
        <v/>
      </c>
      <c r="T32" s="25" t="str">
        <f t="shared" si="25"/>
        <v/>
      </c>
      <c r="U32" s="25" t="str">
        <f t="shared" si="25"/>
        <v/>
      </c>
      <c r="V32" s="25" t="str">
        <f t="shared" si="25"/>
        <v/>
      </c>
      <c r="W32" s="25" t="str">
        <f t="shared" si="25"/>
        <v/>
      </c>
      <c r="X32" s="25" t="str">
        <f t="shared" si="25"/>
        <v/>
      </c>
      <c r="Y32" s="25" t="str">
        <f t="shared" si="25"/>
        <v/>
      </c>
      <c r="Z32" s="25" t="str">
        <f t="shared" si="25"/>
        <v/>
      </c>
    </row>
    <row r="33" spans="2:26" ht="15.75" customHeight="1" x14ac:dyDescent="0.25">
      <c r="B33" s="41"/>
      <c r="C33" s="41"/>
      <c r="D33" s="41"/>
      <c r="E33" s="41"/>
      <c r="F33" s="41"/>
      <c r="G33" s="41"/>
      <c r="H33" s="4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2:26" ht="15.75" customHeight="1" x14ac:dyDescent="0.25">
      <c r="B34" s="19" t="s">
        <v>352</v>
      </c>
      <c r="C34" s="21" t="s">
        <v>353</v>
      </c>
      <c r="D34" s="22">
        <f>MIN(D35:D38)</f>
        <v>46359</v>
      </c>
      <c r="E34" s="22">
        <f>MAX(E35:E38)</f>
        <v>46407</v>
      </c>
      <c r="F34" s="19"/>
      <c r="G34" s="19" t="s">
        <v>10</v>
      </c>
      <c r="H34" s="19"/>
      <c r="I34" s="25" t="str">
        <f t="shared" ref="I34:Z34" si="26">IF(AND($G34="Milestone",$D34&gt;=I$4,$D34&lt;=I$4+6),"◆","")</f>
        <v/>
      </c>
      <c r="J34" s="25" t="str">
        <f t="shared" si="26"/>
        <v/>
      </c>
      <c r="K34" s="25" t="str">
        <f t="shared" si="26"/>
        <v/>
      </c>
      <c r="L34" s="25" t="str">
        <f t="shared" si="26"/>
        <v/>
      </c>
      <c r="M34" s="25" t="str">
        <f t="shared" si="26"/>
        <v/>
      </c>
      <c r="N34" s="25" t="str">
        <f t="shared" si="26"/>
        <v/>
      </c>
      <c r="O34" s="25" t="str">
        <f t="shared" si="26"/>
        <v/>
      </c>
      <c r="P34" s="25" t="str">
        <f t="shared" si="26"/>
        <v/>
      </c>
      <c r="Q34" s="25" t="str">
        <f t="shared" si="26"/>
        <v/>
      </c>
      <c r="R34" s="25" t="str">
        <f t="shared" si="26"/>
        <v/>
      </c>
      <c r="S34" s="25" t="str">
        <f t="shared" si="26"/>
        <v/>
      </c>
      <c r="T34" s="25" t="str">
        <f t="shared" si="26"/>
        <v/>
      </c>
      <c r="U34" s="25" t="str">
        <f t="shared" si="26"/>
        <v/>
      </c>
      <c r="V34" s="25" t="str">
        <f t="shared" si="26"/>
        <v/>
      </c>
      <c r="W34" s="25" t="str">
        <f t="shared" si="26"/>
        <v/>
      </c>
      <c r="X34" s="25" t="str">
        <f t="shared" si="26"/>
        <v/>
      </c>
      <c r="Y34" s="25" t="str">
        <f t="shared" si="26"/>
        <v/>
      </c>
      <c r="Z34" s="25" t="str">
        <f t="shared" si="26"/>
        <v/>
      </c>
    </row>
    <row r="35" spans="2:26" ht="15.75" customHeight="1" x14ac:dyDescent="0.25">
      <c r="B35" s="32" t="str">
        <f>Schedule!B29</f>
        <v>A19</v>
      </c>
      <c r="C35" s="33" t="str">
        <f>Schedule!C29</f>
        <v>Prompt library design and testing</v>
      </c>
      <c r="D35" s="34">
        <f>Schedule!F29</f>
        <v>46359</v>
      </c>
      <c r="E35" s="34">
        <f>Schedule!G29</f>
        <v>46370</v>
      </c>
      <c r="F35" s="32" t="str">
        <f>Schedule!O29</f>
        <v>No</v>
      </c>
      <c r="G35" s="32" t="s">
        <v>66</v>
      </c>
      <c r="H35" s="32" t="str">
        <f>Schedule!H29</f>
        <v>M2</v>
      </c>
      <c r="I35" s="25" t="str">
        <f t="shared" ref="I35:Z35" si="27">IF(AND($G35="Milestone",$D35&gt;=I$4,$D35&lt;=I$4+6),"◆","")</f>
        <v/>
      </c>
      <c r="J35" s="25" t="str">
        <f t="shared" si="27"/>
        <v/>
      </c>
      <c r="K35" s="25" t="str">
        <f t="shared" si="27"/>
        <v/>
      </c>
      <c r="L35" s="25" t="str">
        <f t="shared" si="27"/>
        <v/>
      </c>
      <c r="M35" s="25" t="str">
        <f t="shared" si="27"/>
        <v/>
      </c>
      <c r="N35" s="25" t="str">
        <f t="shared" si="27"/>
        <v/>
      </c>
      <c r="O35" s="25" t="str">
        <f t="shared" si="27"/>
        <v/>
      </c>
      <c r="P35" s="25" t="str">
        <f t="shared" si="27"/>
        <v/>
      </c>
      <c r="Q35" s="25" t="str">
        <f t="shared" si="27"/>
        <v/>
      </c>
      <c r="R35" s="25" t="str">
        <f t="shared" si="27"/>
        <v/>
      </c>
      <c r="S35" s="25" t="str">
        <f t="shared" si="27"/>
        <v/>
      </c>
      <c r="T35" s="25" t="str">
        <f t="shared" si="27"/>
        <v/>
      </c>
      <c r="U35" s="25" t="str">
        <f t="shared" si="27"/>
        <v/>
      </c>
      <c r="V35" s="25" t="str">
        <f t="shared" si="27"/>
        <v/>
      </c>
      <c r="W35" s="25" t="str">
        <f t="shared" si="27"/>
        <v/>
      </c>
      <c r="X35" s="25" t="str">
        <f t="shared" si="27"/>
        <v/>
      </c>
      <c r="Y35" s="25" t="str">
        <f t="shared" si="27"/>
        <v/>
      </c>
      <c r="Z35" s="25" t="str">
        <f t="shared" si="27"/>
        <v/>
      </c>
    </row>
    <row r="36" spans="2:26" ht="15.75" customHeight="1" x14ac:dyDescent="0.25">
      <c r="B36" s="32" t="str">
        <f>Schedule!B30</f>
        <v>A20</v>
      </c>
      <c r="C36" s="33" t="str">
        <f>Schedule!C30</f>
        <v>Retail report generator</v>
      </c>
      <c r="D36" s="34">
        <f>Schedule!F30</f>
        <v>46371</v>
      </c>
      <c r="E36" s="34">
        <f>Schedule!G30</f>
        <v>46379</v>
      </c>
      <c r="F36" s="32" t="str">
        <f>Schedule!O30</f>
        <v>No</v>
      </c>
      <c r="G36" s="32" t="s">
        <v>66</v>
      </c>
      <c r="H36" s="32" t="str">
        <f>Schedule!H30</f>
        <v>A19</v>
      </c>
      <c r="I36" s="25" t="str">
        <f t="shared" ref="I36:Z36" si="28">IF(AND($G36="Milestone",$D36&gt;=I$4,$D36&lt;=I$4+6),"◆","")</f>
        <v/>
      </c>
      <c r="J36" s="25" t="str">
        <f t="shared" si="28"/>
        <v/>
      </c>
      <c r="K36" s="25" t="str">
        <f t="shared" si="28"/>
        <v/>
      </c>
      <c r="L36" s="25" t="str">
        <f t="shared" si="28"/>
        <v/>
      </c>
      <c r="M36" s="25" t="str">
        <f t="shared" si="28"/>
        <v/>
      </c>
      <c r="N36" s="25" t="str">
        <f t="shared" si="28"/>
        <v/>
      </c>
      <c r="O36" s="25" t="str">
        <f t="shared" si="28"/>
        <v/>
      </c>
      <c r="P36" s="25" t="str">
        <f t="shared" si="28"/>
        <v/>
      </c>
      <c r="Q36" s="25" t="str">
        <f t="shared" si="28"/>
        <v/>
      </c>
      <c r="R36" s="25" t="str">
        <f t="shared" si="28"/>
        <v/>
      </c>
      <c r="S36" s="25" t="str">
        <f t="shared" si="28"/>
        <v/>
      </c>
      <c r="T36" s="25" t="str">
        <f t="shared" si="28"/>
        <v/>
      </c>
      <c r="U36" s="25" t="str">
        <f t="shared" si="28"/>
        <v/>
      </c>
      <c r="V36" s="25" t="str">
        <f t="shared" si="28"/>
        <v/>
      </c>
      <c r="W36" s="25" t="str">
        <f t="shared" si="28"/>
        <v/>
      </c>
      <c r="X36" s="25" t="str">
        <f t="shared" si="28"/>
        <v/>
      </c>
      <c r="Y36" s="25" t="str">
        <f t="shared" si="28"/>
        <v/>
      </c>
      <c r="Z36" s="25" t="str">
        <f t="shared" si="28"/>
        <v/>
      </c>
    </row>
    <row r="37" spans="2:26" ht="15.75" customHeight="1" x14ac:dyDescent="0.25">
      <c r="B37" s="32" t="str">
        <f>Schedule!B31</f>
        <v>A21</v>
      </c>
      <c r="C37" s="33" t="str">
        <f>Schedule!C31</f>
        <v>AI Retail Copilot development (Streamlit)</v>
      </c>
      <c r="D37" s="34">
        <f>Schedule!F31</f>
        <v>46380</v>
      </c>
      <c r="E37" s="34">
        <f>Schedule!G31</f>
        <v>46400</v>
      </c>
      <c r="F37" s="32" t="str">
        <f>Schedule!O31</f>
        <v>No</v>
      </c>
      <c r="G37" s="32" t="s">
        <v>66</v>
      </c>
      <c r="H37" s="32" t="str">
        <f>Schedule!H31</f>
        <v>A20</v>
      </c>
      <c r="I37" s="25" t="str">
        <f t="shared" ref="I37:Z37" si="29">IF(AND($G37="Milestone",$D37&gt;=I$4,$D37&lt;=I$4+6),"◆","")</f>
        <v/>
      </c>
      <c r="J37" s="25" t="str">
        <f t="shared" si="29"/>
        <v/>
      </c>
      <c r="K37" s="25" t="str">
        <f t="shared" si="29"/>
        <v/>
      </c>
      <c r="L37" s="25" t="str">
        <f t="shared" si="29"/>
        <v/>
      </c>
      <c r="M37" s="25" t="str">
        <f t="shared" si="29"/>
        <v/>
      </c>
      <c r="N37" s="25" t="str">
        <f t="shared" si="29"/>
        <v/>
      </c>
      <c r="O37" s="25" t="str">
        <f t="shared" si="29"/>
        <v/>
      </c>
      <c r="P37" s="25" t="str">
        <f t="shared" si="29"/>
        <v/>
      </c>
      <c r="Q37" s="25" t="str">
        <f t="shared" si="29"/>
        <v/>
      </c>
      <c r="R37" s="25" t="str">
        <f t="shared" si="29"/>
        <v/>
      </c>
      <c r="S37" s="25" t="str">
        <f t="shared" si="29"/>
        <v/>
      </c>
      <c r="T37" s="25" t="str">
        <f t="shared" si="29"/>
        <v/>
      </c>
      <c r="U37" s="25" t="str">
        <f t="shared" si="29"/>
        <v/>
      </c>
      <c r="V37" s="25" t="str">
        <f t="shared" si="29"/>
        <v/>
      </c>
      <c r="W37" s="25" t="str">
        <f t="shared" si="29"/>
        <v/>
      </c>
      <c r="X37" s="25" t="str">
        <f t="shared" si="29"/>
        <v/>
      </c>
      <c r="Y37" s="25" t="str">
        <f t="shared" si="29"/>
        <v/>
      </c>
      <c r="Z37" s="25" t="str">
        <f t="shared" si="29"/>
        <v/>
      </c>
    </row>
    <row r="38" spans="2:26" ht="15.75" customHeight="1" x14ac:dyDescent="0.25">
      <c r="B38" s="32" t="str">
        <f>Schedule!B32</f>
        <v>A22</v>
      </c>
      <c r="C38" s="33" t="str">
        <f>Schedule!C32</f>
        <v>Copilot integration with data and forecasting model</v>
      </c>
      <c r="D38" s="34">
        <f>Schedule!F32</f>
        <v>46401</v>
      </c>
      <c r="E38" s="34">
        <f>Schedule!G32</f>
        <v>46407</v>
      </c>
      <c r="F38" s="32" t="str">
        <f>Schedule!O32</f>
        <v>No</v>
      </c>
      <c r="G38" s="32" t="s">
        <v>66</v>
      </c>
      <c r="H38" s="32" t="str">
        <f>Schedule!H32</f>
        <v>A21, A15</v>
      </c>
      <c r="I38" s="25" t="str">
        <f t="shared" ref="I38:Z38" si="30">IF(AND($G38="Milestone",$D38&gt;=I$4,$D38&lt;=I$4+6),"◆","")</f>
        <v/>
      </c>
      <c r="J38" s="25" t="str">
        <f t="shared" si="30"/>
        <v/>
      </c>
      <c r="K38" s="25" t="str">
        <f t="shared" si="30"/>
        <v/>
      </c>
      <c r="L38" s="25" t="str">
        <f t="shared" si="30"/>
        <v/>
      </c>
      <c r="M38" s="25" t="str">
        <f t="shared" si="30"/>
        <v/>
      </c>
      <c r="N38" s="25" t="str">
        <f t="shared" si="30"/>
        <v/>
      </c>
      <c r="O38" s="25" t="str">
        <f t="shared" si="30"/>
        <v/>
      </c>
      <c r="P38" s="25" t="str">
        <f t="shared" si="30"/>
        <v/>
      </c>
      <c r="Q38" s="25" t="str">
        <f t="shared" si="30"/>
        <v/>
      </c>
      <c r="R38" s="25" t="str">
        <f t="shared" si="30"/>
        <v/>
      </c>
      <c r="S38" s="25" t="str">
        <f t="shared" si="30"/>
        <v/>
      </c>
      <c r="T38" s="25" t="str">
        <f t="shared" si="30"/>
        <v/>
      </c>
      <c r="U38" s="25" t="str">
        <f t="shared" si="30"/>
        <v/>
      </c>
      <c r="V38" s="25" t="str">
        <f t="shared" si="30"/>
        <v/>
      </c>
      <c r="W38" s="25" t="str">
        <f t="shared" si="30"/>
        <v/>
      </c>
      <c r="X38" s="25" t="str">
        <f t="shared" si="30"/>
        <v/>
      </c>
      <c r="Y38" s="25" t="str">
        <f t="shared" si="30"/>
        <v/>
      </c>
      <c r="Z38" s="25" t="str">
        <f t="shared" si="30"/>
        <v/>
      </c>
    </row>
    <row r="39" spans="2:26" ht="15.75" customHeight="1" x14ac:dyDescent="0.25">
      <c r="B39" s="45"/>
      <c r="C39" s="45"/>
      <c r="D39" s="45"/>
      <c r="E39" s="45"/>
      <c r="F39" s="45"/>
      <c r="G39" s="45"/>
      <c r="H39" s="4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2:26" ht="15.75" customHeight="1" x14ac:dyDescent="0.25">
      <c r="B40" s="19" t="s">
        <v>354</v>
      </c>
      <c r="C40" s="21" t="s">
        <v>355</v>
      </c>
      <c r="D40" s="22">
        <f>MIN(D41:D47)</f>
        <v>46413</v>
      </c>
      <c r="E40" s="22">
        <f>MAX(E41:E47)</f>
        <v>46435</v>
      </c>
      <c r="F40" s="19"/>
      <c r="G40" s="19" t="s">
        <v>10</v>
      </c>
      <c r="H40" s="19"/>
      <c r="I40" s="25" t="str">
        <f t="shared" ref="I40:Z40" si="31">IF(AND($G40="Milestone",$D40&gt;=I$4,$D40&lt;=I$4+6),"◆","")</f>
        <v/>
      </c>
      <c r="J40" s="25" t="str">
        <f t="shared" si="31"/>
        <v/>
      </c>
      <c r="K40" s="25" t="str">
        <f t="shared" si="31"/>
        <v/>
      </c>
      <c r="L40" s="25" t="str">
        <f t="shared" si="31"/>
        <v/>
      </c>
      <c r="M40" s="25" t="str">
        <f t="shared" si="31"/>
        <v/>
      </c>
      <c r="N40" s="25" t="str">
        <f t="shared" si="31"/>
        <v/>
      </c>
      <c r="O40" s="25" t="str">
        <f t="shared" si="31"/>
        <v/>
      </c>
      <c r="P40" s="25" t="str">
        <f t="shared" si="31"/>
        <v/>
      </c>
      <c r="Q40" s="25" t="str">
        <f t="shared" si="31"/>
        <v/>
      </c>
      <c r="R40" s="25" t="str">
        <f t="shared" si="31"/>
        <v/>
      </c>
      <c r="S40" s="25" t="str">
        <f t="shared" si="31"/>
        <v/>
      </c>
      <c r="T40" s="25" t="str">
        <f t="shared" si="31"/>
        <v/>
      </c>
      <c r="U40" s="25" t="str">
        <f t="shared" si="31"/>
        <v/>
      </c>
      <c r="V40" s="25" t="str">
        <f t="shared" si="31"/>
        <v/>
      </c>
      <c r="W40" s="25" t="str">
        <f t="shared" si="31"/>
        <v/>
      </c>
      <c r="X40" s="25" t="str">
        <f t="shared" si="31"/>
        <v/>
      </c>
      <c r="Y40" s="25" t="str">
        <f t="shared" si="31"/>
        <v/>
      </c>
      <c r="Z40" s="25" t="str">
        <f t="shared" si="31"/>
        <v/>
      </c>
    </row>
    <row r="41" spans="2:26" ht="15.75" customHeight="1" x14ac:dyDescent="0.25">
      <c r="B41" s="32" t="str">
        <f>Schedule!B34</f>
        <v>M4</v>
      </c>
      <c r="C41" s="33" t="str">
        <f>Schedule!C34</f>
        <v>Milestone: All Workstream Deliverables Built</v>
      </c>
      <c r="D41" s="34">
        <f>Schedule!F34</f>
        <v>46413</v>
      </c>
      <c r="E41" s="34">
        <f>Schedule!G34</f>
        <v>46413</v>
      </c>
      <c r="F41" s="32" t="str">
        <f>Schedule!O34</f>
        <v>Yes</v>
      </c>
      <c r="G41" s="32" t="s">
        <v>112</v>
      </c>
      <c r="H41" s="32" t="str">
        <f>Schedule!H34</f>
        <v>A18, A22, M3</v>
      </c>
      <c r="I41" s="25" t="str">
        <f t="shared" ref="I41:Z41" si="32">IF(AND($G41="Milestone",$D41&gt;=I$4,$D41&lt;=I$4+6),"◆","")</f>
        <v/>
      </c>
      <c r="J41" s="25" t="str">
        <f t="shared" si="32"/>
        <v/>
      </c>
      <c r="K41" s="25" t="str">
        <f t="shared" si="32"/>
        <v/>
      </c>
      <c r="L41" s="25" t="str">
        <f t="shared" si="32"/>
        <v/>
      </c>
      <c r="M41" s="25" t="str">
        <f t="shared" si="32"/>
        <v/>
      </c>
      <c r="N41" s="25" t="str">
        <f t="shared" si="32"/>
        <v/>
      </c>
      <c r="O41" s="25" t="str">
        <f t="shared" si="32"/>
        <v/>
      </c>
      <c r="P41" s="25" t="str">
        <f t="shared" si="32"/>
        <v/>
      </c>
      <c r="Q41" s="25" t="str">
        <f t="shared" si="32"/>
        <v/>
      </c>
      <c r="R41" s="25" t="str">
        <f t="shared" si="32"/>
        <v/>
      </c>
      <c r="S41" s="25" t="str">
        <f t="shared" si="32"/>
        <v/>
      </c>
      <c r="T41" s="25" t="str">
        <f t="shared" si="32"/>
        <v/>
      </c>
      <c r="U41" s="25" t="str">
        <f t="shared" si="32"/>
        <v>◆</v>
      </c>
      <c r="V41" s="25" t="str">
        <f t="shared" si="32"/>
        <v/>
      </c>
      <c r="W41" s="25" t="str">
        <f t="shared" si="32"/>
        <v/>
      </c>
      <c r="X41" s="25" t="str">
        <f t="shared" si="32"/>
        <v/>
      </c>
      <c r="Y41" s="25" t="str">
        <f t="shared" si="32"/>
        <v/>
      </c>
      <c r="Z41" s="25" t="str">
        <f t="shared" si="32"/>
        <v/>
      </c>
    </row>
    <row r="42" spans="2:26" ht="15.75" customHeight="1" x14ac:dyDescent="0.25">
      <c r="B42" s="32" t="str">
        <f>Schedule!B35</f>
        <v>A23</v>
      </c>
      <c r="C42" s="33" t="str">
        <f>Schedule!C35</f>
        <v>Dashboard quality review and data accuracy testing</v>
      </c>
      <c r="D42" s="34">
        <f>Schedule!F35</f>
        <v>46414</v>
      </c>
      <c r="E42" s="34">
        <f>Schedule!G35</f>
        <v>46419</v>
      </c>
      <c r="F42" s="32" t="str">
        <f>Schedule!O35</f>
        <v>No</v>
      </c>
      <c r="G42" s="32" t="s">
        <v>66</v>
      </c>
      <c r="H42" s="32" t="str">
        <f>Schedule!H35</f>
        <v>M4</v>
      </c>
      <c r="I42" s="25" t="str">
        <f t="shared" ref="I42:Z42" si="33">IF(AND($G42="Milestone",$D42&gt;=I$4,$D42&lt;=I$4+6),"◆","")</f>
        <v/>
      </c>
      <c r="J42" s="25" t="str">
        <f t="shared" si="33"/>
        <v/>
      </c>
      <c r="K42" s="25" t="str">
        <f t="shared" si="33"/>
        <v/>
      </c>
      <c r="L42" s="25" t="str">
        <f t="shared" si="33"/>
        <v/>
      </c>
      <c r="M42" s="25" t="str">
        <f t="shared" si="33"/>
        <v/>
      </c>
      <c r="N42" s="25" t="str">
        <f t="shared" si="33"/>
        <v/>
      </c>
      <c r="O42" s="25" t="str">
        <f t="shared" si="33"/>
        <v/>
      </c>
      <c r="P42" s="25" t="str">
        <f t="shared" si="33"/>
        <v/>
      </c>
      <c r="Q42" s="25" t="str">
        <f t="shared" si="33"/>
        <v/>
      </c>
      <c r="R42" s="25" t="str">
        <f t="shared" si="33"/>
        <v/>
      </c>
      <c r="S42" s="25" t="str">
        <f t="shared" si="33"/>
        <v/>
      </c>
      <c r="T42" s="25" t="str">
        <f t="shared" si="33"/>
        <v/>
      </c>
      <c r="U42" s="25" t="str">
        <f t="shared" si="33"/>
        <v/>
      </c>
      <c r="V42" s="25" t="str">
        <f t="shared" si="33"/>
        <v/>
      </c>
      <c r="W42" s="25" t="str">
        <f t="shared" si="33"/>
        <v/>
      </c>
      <c r="X42" s="25" t="str">
        <f t="shared" si="33"/>
        <v/>
      </c>
      <c r="Y42" s="25" t="str">
        <f t="shared" si="33"/>
        <v/>
      </c>
      <c r="Z42" s="25" t="str">
        <f t="shared" si="33"/>
        <v/>
      </c>
    </row>
    <row r="43" spans="2:26" ht="15.75" customHeight="1" x14ac:dyDescent="0.25">
      <c r="B43" s="32" t="str">
        <f>Schedule!B36</f>
        <v>A24</v>
      </c>
      <c r="C43" s="33" t="str">
        <f>Schedule!C36</f>
        <v>Code review and model testing</v>
      </c>
      <c r="D43" s="34">
        <f>Schedule!F36</f>
        <v>46414</v>
      </c>
      <c r="E43" s="34">
        <f>Schedule!G36</f>
        <v>46420</v>
      </c>
      <c r="F43" s="32" t="str">
        <f>Schedule!O36</f>
        <v>No</v>
      </c>
      <c r="G43" s="32" t="s">
        <v>66</v>
      </c>
      <c r="H43" s="32" t="str">
        <f>Schedule!H36</f>
        <v>M4</v>
      </c>
      <c r="I43" s="25" t="str">
        <f t="shared" ref="I43:Z43" si="34">IF(AND($G43="Milestone",$D43&gt;=I$4,$D43&lt;=I$4+6),"◆","")</f>
        <v/>
      </c>
      <c r="J43" s="25" t="str">
        <f t="shared" si="34"/>
        <v/>
      </c>
      <c r="K43" s="25" t="str">
        <f t="shared" si="34"/>
        <v/>
      </c>
      <c r="L43" s="25" t="str">
        <f t="shared" si="34"/>
        <v/>
      </c>
      <c r="M43" s="25" t="str">
        <f t="shared" si="34"/>
        <v/>
      </c>
      <c r="N43" s="25" t="str">
        <f t="shared" si="34"/>
        <v/>
      </c>
      <c r="O43" s="25" t="str">
        <f t="shared" si="34"/>
        <v/>
      </c>
      <c r="P43" s="25" t="str">
        <f t="shared" si="34"/>
        <v/>
      </c>
      <c r="Q43" s="25" t="str">
        <f t="shared" si="34"/>
        <v/>
      </c>
      <c r="R43" s="25" t="str">
        <f t="shared" si="34"/>
        <v/>
      </c>
      <c r="S43" s="25" t="str">
        <f t="shared" si="34"/>
        <v/>
      </c>
      <c r="T43" s="25" t="str">
        <f t="shared" si="34"/>
        <v/>
      </c>
      <c r="U43" s="25" t="str">
        <f t="shared" si="34"/>
        <v/>
      </c>
      <c r="V43" s="25" t="str">
        <f t="shared" si="34"/>
        <v/>
      </c>
      <c r="W43" s="25" t="str">
        <f t="shared" si="34"/>
        <v/>
      </c>
      <c r="X43" s="25" t="str">
        <f t="shared" si="34"/>
        <v/>
      </c>
      <c r="Y43" s="25" t="str">
        <f t="shared" si="34"/>
        <v/>
      </c>
      <c r="Z43" s="25" t="str">
        <f t="shared" si="34"/>
        <v/>
      </c>
    </row>
    <row r="44" spans="2:26" ht="15.75" customHeight="1" x14ac:dyDescent="0.25">
      <c r="B44" s="32" t="str">
        <f>Schedule!B37</f>
        <v>A25</v>
      </c>
      <c r="C44" s="33" t="str">
        <f>Schedule!C37</f>
        <v>Copilot testing and prompt evaluation</v>
      </c>
      <c r="D44" s="34">
        <f>Schedule!F37</f>
        <v>46414</v>
      </c>
      <c r="E44" s="34">
        <f>Schedule!G37</f>
        <v>46421</v>
      </c>
      <c r="F44" s="32" t="str">
        <f>Schedule!O37</f>
        <v>Yes</v>
      </c>
      <c r="G44" s="32" t="s">
        <v>66</v>
      </c>
      <c r="H44" s="32" t="str">
        <f>Schedule!H37</f>
        <v>M4</v>
      </c>
      <c r="I44" s="25" t="str">
        <f t="shared" ref="I44:Z44" si="35">IF(AND($G44="Milestone",$D44&gt;=I$4,$D44&lt;=I$4+6),"◆","")</f>
        <v/>
      </c>
      <c r="J44" s="25" t="str">
        <f t="shared" si="35"/>
        <v/>
      </c>
      <c r="K44" s="25" t="str">
        <f t="shared" si="35"/>
        <v/>
      </c>
      <c r="L44" s="25" t="str">
        <f t="shared" si="35"/>
        <v/>
      </c>
      <c r="M44" s="25" t="str">
        <f t="shared" si="35"/>
        <v/>
      </c>
      <c r="N44" s="25" t="str">
        <f t="shared" si="35"/>
        <v/>
      </c>
      <c r="O44" s="25" t="str">
        <f t="shared" si="35"/>
        <v/>
      </c>
      <c r="P44" s="25" t="str">
        <f t="shared" si="35"/>
        <v/>
      </c>
      <c r="Q44" s="25" t="str">
        <f t="shared" si="35"/>
        <v/>
      </c>
      <c r="R44" s="25" t="str">
        <f t="shared" si="35"/>
        <v/>
      </c>
      <c r="S44" s="25" t="str">
        <f t="shared" si="35"/>
        <v/>
      </c>
      <c r="T44" s="25" t="str">
        <f t="shared" si="35"/>
        <v/>
      </c>
      <c r="U44" s="25" t="str">
        <f t="shared" si="35"/>
        <v/>
      </c>
      <c r="V44" s="25" t="str">
        <f t="shared" si="35"/>
        <v/>
      </c>
      <c r="W44" s="25" t="str">
        <f t="shared" si="35"/>
        <v/>
      </c>
      <c r="X44" s="25" t="str">
        <f t="shared" si="35"/>
        <v/>
      </c>
      <c r="Y44" s="25" t="str">
        <f t="shared" si="35"/>
        <v/>
      </c>
      <c r="Z44" s="25" t="str">
        <f t="shared" si="35"/>
        <v/>
      </c>
    </row>
    <row r="45" spans="2:26" ht="15.75" customHeight="1" x14ac:dyDescent="0.25">
      <c r="B45" s="32" t="str">
        <f>Schedule!B38</f>
        <v>A26</v>
      </c>
      <c r="C45" s="33" t="str">
        <f>Schedule!C38</f>
        <v>User acceptance testing with ShopSmart managers</v>
      </c>
      <c r="D45" s="34">
        <f>Schedule!F38</f>
        <v>46422</v>
      </c>
      <c r="E45" s="34">
        <f>Schedule!G38</f>
        <v>46428</v>
      </c>
      <c r="F45" s="32" t="str">
        <f>Schedule!O38</f>
        <v>Yes</v>
      </c>
      <c r="G45" s="32" t="s">
        <v>66</v>
      </c>
      <c r="H45" s="32" t="str">
        <f>Schedule!H38</f>
        <v>A23, A24, A25</v>
      </c>
      <c r="I45" s="25" t="str">
        <f t="shared" ref="I45:Z45" si="36">IF(AND($G45="Milestone",$D45&gt;=I$4,$D45&lt;=I$4+6),"◆","")</f>
        <v/>
      </c>
      <c r="J45" s="25" t="str">
        <f t="shared" si="36"/>
        <v/>
      </c>
      <c r="K45" s="25" t="str">
        <f t="shared" si="36"/>
        <v/>
      </c>
      <c r="L45" s="25" t="str">
        <f t="shared" si="36"/>
        <v/>
      </c>
      <c r="M45" s="25" t="str">
        <f t="shared" si="36"/>
        <v/>
      </c>
      <c r="N45" s="25" t="str">
        <f t="shared" si="36"/>
        <v/>
      </c>
      <c r="O45" s="25" t="str">
        <f t="shared" si="36"/>
        <v/>
      </c>
      <c r="P45" s="25" t="str">
        <f t="shared" si="36"/>
        <v/>
      </c>
      <c r="Q45" s="25" t="str">
        <f t="shared" si="36"/>
        <v/>
      </c>
      <c r="R45" s="25" t="str">
        <f t="shared" si="36"/>
        <v/>
      </c>
      <c r="S45" s="25" t="str">
        <f t="shared" si="36"/>
        <v/>
      </c>
      <c r="T45" s="25" t="str">
        <f t="shared" si="36"/>
        <v/>
      </c>
      <c r="U45" s="25" t="str">
        <f t="shared" si="36"/>
        <v/>
      </c>
      <c r="V45" s="25" t="str">
        <f t="shared" si="36"/>
        <v/>
      </c>
      <c r="W45" s="25" t="str">
        <f t="shared" si="36"/>
        <v/>
      </c>
      <c r="X45" s="25" t="str">
        <f t="shared" si="36"/>
        <v/>
      </c>
      <c r="Y45" s="25" t="str">
        <f t="shared" si="36"/>
        <v/>
      </c>
      <c r="Z45" s="25" t="str">
        <f t="shared" si="36"/>
        <v/>
      </c>
    </row>
    <row r="46" spans="2:26" ht="15.75" customHeight="1" x14ac:dyDescent="0.25">
      <c r="B46" s="32" t="str">
        <f>Schedule!B39</f>
        <v>A27</v>
      </c>
      <c r="C46" s="33" t="str">
        <f>Schedule!C39</f>
        <v>Defect fixing and retesting</v>
      </c>
      <c r="D46" s="34">
        <f>Schedule!F39</f>
        <v>46429</v>
      </c>
      <c r="E46" s="34">
        <f>Schedule!G39</f>
        <v>46435</v>
      </c>
      <c r="F46" s="32" t="str">
        <f>Schedule!O39</f>
        <v>Yes</v>
      </c>
      <c r="G46" s="32" t="s">
        <v>66</v>
      </c>
      <c r="H46" s="32" t="str">
        <f>Schedule!H39</f>
        <v>A26</v>
      </c>
      <c r="I46" s="25" t="str">
        <f t="shared" ref="I46:Z46" si="37">IF(AND($G46="Milestone",$D46&gt;=I$4,$D46&lt;=I$4+6),"◆","")</f>
        <v/>
      </c>
      <c r="J46" s="25" t="str">
        <f t="shared" si="37"/>
        <v/>
      </c>
      <c r="K46" s="25" t="str">
        <f t="shared" si="37"/>
        <v/>
      </c>
      <c r="L46" s="25" t="str">
        <f t="shared" si="37"/>
        <v/>
      </c>
      <c r="M46" s="25" t="str">
        <f t="shared" si="37"/>
        <v/>
      </c>
      <c r="N46" s="25" t="str">
        <f t="shared" si="37"/>
        <v/>
      </c>
      <c r="O46" s="25" t="str">
        <f t="shared" si="37"/>
        <v/>
      </c>
      <c r="P46" s="25" t="str">
        <f t="shared" si="37"/>
        <v/>
      </c>
      <c r="Q46" s="25" t="str">
        <f t="shared" si="37"/>
        <v/>
      </c>
      <c r="R46" s="25" t="str">
        <f t="shared" si="37"/>
        <v/>
      </c>
      <c r="S46" s="25" t="str">
        <f t="shared" si="37"/>
        <v/>
      </c>
      <c r="T46" s="25" t="str">
        <f t="shared" si="37"/>
        <v/>
      </c>
      <c r="U46" s="25" t="str">
        <f t="shared" si="37"/>
        <v/>
      </c>
      <c r="V46" s="25" t="str">
        <f t="shared" si="37"/>
        <v/>
      </c>
      <c r="W46" s="25" t="str">
        <f t="shared" si="37"/>
        <v/>
      </c>
      <c r="X46" s="25" t="str">
        <f t="shared" si="37"/>
        <v/>
      </c>
      <c r="Y46" s="25" t="str">
        <f t="shared" si="37"/>
        <v/>
      </c>
      <c r="Z46" s="25" t="str">
        <f t="shared" si="37"/>
        <v/>
      </c>
    </row>
    <row r="47" spans="2:26" ht="15.75" customHeight="1" x14ac:dyDescent="0.25">
      <c r="B47" s="32" t="str">
        <f>Schedule!B41</f>
        <v>M5</v>
      </c>
      <c r="C47" s="33" t="str">
        <f>Schedule!C41</f>
        <v>Milestone: Deliverables Accepted</v>
      </c>
      <c r="D47" s="34">
        <f>Schedule!F41</f>
        <v>46435</v>
      </c>
      <c r="E47" s="34">
        <f>Schedule!G41</f>
        <v>46435</v>
      </c>
      <c r="F47" s="32" t="str">
        <f>Schedule!O41</f>
        <v>Yes</v>
      </c>
      <c r="G47" s="32" t="s">
        <v>112</v>
      </c>
      <c r="H47" s="32" t="str">
        <f>Schedule!H41</f>
        <v>A27</v>
      </c>
      <c r="I47" s="25" t="str">
        <f t="shared" ref="I47:Z47" si="38">IF(AND($G47="Milestone",$D47&gt;=I$4,$D47&lt;=I$4+6),"◆","")</f>
        <v/>
      </c>
      <c r="J47" s="25" t="str">
        <f t="shared" si="38"/>
        <v/>
      </c>
      <c r="K47" s="25" t="str">
        <f t="shared" si="38"/>
        <v/>
      </c>
      <c r="L47" s="25" t="str">
        <f t="shared" si="38"/>
        <v/>
      </c>
      <c r="M47" s="25" t="str">
        <f t="shared" si="38"/>
        <v/>
      </c>
      <c r="N47" s="25" t="str">
        <f t="shared" si="38"/>
        <v/>
      </c>
      <c r="O47" s="25" t="str">
        <f t="shared" si="38"/>
        <v/>
      </c>
      <c r="P47" s="25" t="str">
        <f t="shared" si="38"/>
        <v/>
      </c>
      <c r="Q47" s="25" t="str">
        <f t="shared" si="38"/>
        <v/>
      </c>
      <c r="R47" s="25" t="str">
        <f t="shared" si="38"/>
        <v/>
      </c>
      <c r="S47" s="25" t="str">
        <f t="shared" si="38"/>
        <v/>
      </c>
      <c r="T47" s="25" t="str">
        <f t="shared" si="38"/>
        <v/>
      </c>
      <c r="U47" s="25" t="str">
        <f t="shared" si="38"/>
        <v/>
      </c>
      <c r="V47" s="25" t="str">
        <f t="shared" si="38"/>
        <v/>
      </c>
      <c r="W47" s="25" t="str">
        <f t="shared" si="38"/>
        <v/>
      </c>
      <c r="X47" s="25" t="str">
        <f t="shared" si="38"/>
        <v>◆</v>
      </c>
      <c r="Y47" s="25" t="str">
        <f t="shared" si="38"/>
        <v/>
      </c>
      <c r="Z47" s="25" t="str">
        <f t="shared" si="38"/>
        <v/>
      </c>
    </row>
    <row r="48" spans="2:26" ht="15.75" customHeight="1" x14ac:dyDescent="0.25">
      <c r="B48" s="45"/>
      <c r="C48" s="45"/>
      <c r="D48" s="45"/>
      <c r="E48" s="45"/>
      <c r="F48" s="45"/>
      <c r="G48" s="45"/>
      <c r="H48" s="45"/>
      <c r="I48" s="4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2:26" ht="15.75" customHeight="1" x14ac:dyDescent="0.25">
      <c r="B49" s="19" t="s">
        <v>356</v>
      </c>
      <c r="C49" s="21" t="s">
        <v>357</v>
      </c>
      <c r="D49" s="22">
        <f>MIN(D50:D55)</f>
        <v>46414</v>
      </c>
      <c r="E49" s="22">
        <f>MAX(E50:E55)</f>
        <v>46447</v>
      </c>
      <c r="F49" s="19"/>
      <c r="G49" s="19" t="s">
        <v>10</v>
      </c>
      <c r="H49" s="19"/>
      <c r="I49" s="25" t="str">
        <f t="shared" ref="I49:Z49" si="39">IF(AND($G49="Milestone",$D49&gt;=I$4,$D49&lt;=I$4+6),"◆","")</f>
        <v/>
      </c>
      <c r="J49" s="25" t="str">
        <f t="shared" si="39"/>
        <v/>
      </c>
      <c r="K49" s="25" t="str">
        <f t="shared" si="39"/>
        <v/>
      </c>
      <c r="L49" s="25" t="str">
        <f t="shared" si="39"/>
        <v/>
      </c>
      <c r="M49" s="25" t="str">
        <f t="shared" si="39"/>
        <v/>
      </c>
      <c r="N49" s="25" t="str">
        <f t="shared" si="39"/>
        <v/>
      </c>
      <c r="O49" s="25" t="str">
        <f t="shared" si="39"/>
        <v/>
      </c>
      <c r="P49" s="25" t="str">
        <f t="shared" si="39"/>
        <v/>
      </c>
      <c r="Q49" s="25" t="str">
        <f t="shared" si="39"/>
        <v/>
      </c>
      <c r="R49" s="25" t="str">
        <f t="shared" si="39"/>
        <v/>
      </c>
      <c r="S49" s="25" t="str">
        <f t="shared" si="39"/>
        <v/>
      </c>
      <c r="T49" s="25" t="str">
        <f t="shared" si="39"/>
        <v/>
      </c>
      <c r="U49" s="25" t="str">
        <f t="shared" si="39"/>
        <v/>
      </c>
      <c r="V49" s="25" t="str">
        <f t="shared" si="39"/>
        <v/>
      </c>
      <c r="W49" s="25" t="str">
        <f t="shared" si="39"/>
        <v/>
      </c>
      <c r="X49" s="25" t="str">
        <f t="shared" si="39"/>
        <v/>
      </c>
      <c r="Y49" s="25" t="str">
        <f t="shared" si="39"/>
        <v/>
      </c>
      <c r="Z49" s="25" t="str">
        <f t="shared" si="39"/>
        <v/>
      </c>
    </row>
    <row r="50" spans="2:26" ht="15.75" customHeight="1" x14ac:dyDescent="0.25">
      <c r="B50" s="32" t="str">
        <f>Schedule!B42</f>
        <v>A28</v>
      </c>
      <c r="C50" s="33" t="str">
        <f>Schedule!C42</f>
        <v>Project and technical documentation</v>
      </c>
      <c r="D50" s="34">
        <f>Schedule!F42</f>
        <v>46414</v>
      </c>
      <c r="E50" s="34">
        <f>Schedule!G42</f>
        <v>46422</v>
      </c>
      <c r="F50" s="32" t="str">
        <f>Schedule!O42</f>
        <v>No</v>
      </c>
      <c r="G50" s="32" t="s">
        <v>66</v>
      </c>
      <c r="H50" s="32" t="str">
        <f>Schedule!H42</f>
        <v>M4</v>
      </c>
      <c r="I50" s="25" t="str">
        <f t="shared" ref="I50:Z50" si="40">IF(AND($G50="Milestone",$D50&gt;=I$4,$D50&lt;=I$4+6),"◆","")</f>
        <v/>
      </c>
      <c r="J50" s="25" t="str">
        <f t="shared" si="40"/>
        <v/>
      </c>
      <c r="K50" s="25" t="str">
        <f t="shared" si="40"/>
        <v/>
      </c>
      <c r="L50" s="25" t="str">
        <f t="shared" si="40"/>
        <v/>
      </c>
      <c r="M50" s="25" t="str">
        <f t="shared" si="40"/>
        <v/>
      </c>
      <c r="N50" s="25" t="str">
        <f t="shared" si="40"/>
        <v/>
      </c>
      <c r="O50" s="25" t="str">
        <f t="shared" si="40"/>
        <v/>
      </c>
      <c r="P50" s="25" t="str">
        <f t="shared" si="40"/>
        <v/>
      </c>
      <c r="Q50" s="25" t="str">
        <f t="shared" si="40"/>
        <v/>
      </c>
      <c r="R50" s="25" t="str">
        <f t="shared" si="40"/>
        <v/>
      </c>
      <c r="S50" s="25" t="str">
        <f t="shared" si="40"/>
        <v/>
      </c>
      <c r="T50" s="25" t="str">
        <f t="shared" si="40"/>
        <v/>
      </c>
      <c r="U50" s="25" t="str">
        <f t="shared" si="40"/>
        <v/>
      </c>
      <c r="V50" s="25" t="str">
        <f t="shared" si="40"/>
        <v/>
      </c>
      <c r="W50" s="25" t="str">
        <f t="shared" si="40"/>
        <v/>
      </c>
      <c r="X50" s="25" t="str">
        <f t="shared" si="40"/>
        <v/>
      </c>
      <c r="Y50" s="25" t="str">
        <f t="shared" si="40"/>
        <v/>
      </c>
      <c r="Z50" s="25" t="str">
        <f t="shared" si="40"/>
        <v/>
      </c>
    </row>
    <row r="51" spans="2:26" ht="15.75" customHeight="1" x14ac:dyDescent="0.25">
      <c r="B51" s="32" t="str">
        <f>Schedule!B43</f>
        <v>A29</v>
      </c>
      <c r="C51" s="33" t="str">
        <f>Schedule!C43</f>
        <v>User training and handover sessions</v>
      </c>
      <c r="D51" s="34">
        <f>Schedule!F43</f>
        <v>46436</v>
      </c>
      <c r="E51" s="34">
        <f>Schedule!G43</f>
        <v>46440</v>
      </c>
      <c r="F51" s="32" t="str">
        <f>Schedule!O43</f>
        <v>No</v>
      </c>
      <c r="G51" s="32" t="s">
        <v>66</v>
      </c>
      <c r="H51" s="32" t="str">
        <f>Schedule!H43</f>
        <v>M5</v>
      </c>
      <c r="I51" s="25" t="str">
        <f t="shared" ref="I51:Z51" si="41">IF(AND($G51="Milestone",$D51&gt;=I$4,$D51&lt;=I$4+6),"◆","")</f>
        <v/>
      </c>
      <c r="J51" s="25" t="str">
        <f t="shared" si="41"/>
        <v/>
      </c>
      <c r="K51" s="25" t="str">
        <f t="shared" si="41"/>
        <v/>
      </c>
      <c r="L51" s="25" t="str">
        <f t="shared" si="41"/>
        <v/>
      </c>
      <c r="M51" s="25" t="str">
        <f t="shared" si="41"/>
        <v/>
      </c>
      <c r="N51" s="25" t="str">
        <f t="shared" si="41"/>
        <v/>
      </c>
      <c r="O51" s="25" t="str">
        <f t="shared" si="41"/>
        <v/>
      </c>
      <c r="P51" s="25" t="str">
        <f t="shared" si="41"/>
        <v/>
      </c>
      <c r="Q51" s="25" t="str">
        <f t="shared" si="41"/>
        <v/>
      </c>
      <c r="R51" s="25" t="str">
        <f t="shared" si="41"/>
        <v/>
      </c>
      <c r="S51" s="25" t="str">
        <f t="shared" si="41"/>
        <v/>
      </c>
      <c r="T51" s="25" t="str">
        <f t="shared" si="41"/>
        <v/>
      </c>
      <c r="U51" s="25" t="str">
        <f t="shared" si="41"/>
        <v/>
      </c>
      <c r="V51" s="25" t="str">
        <f t="shared" si="41"/>
        <v/>
      </c>
      <c r="W51" s="25" t="str">
        <f t="shared" si="41"/>
        <v/>
      </c>
      <c r="X51" s="25" t="str">
        <f t="shared" si="41"/>
        <v/>
      </c>
      <c r="Y51" s="25" t="str">
        <f t="shared" si="41"/>
        <v/>
      </c>
      <c r="Z51" s="25" t="str">
        <f t="shared" si="41"/>
        <v/>
      </c>
    </row>
    <row r="52" spans="2:26" ht="15.75" customHeight="1" x14ac:dyDescent="0.25">
      <c r="B52" s="32" t="str">
        <f>Schedule!B44</f>
        <v>A30</v>
      </c>
      <c r="C52" s="33" t="str">
        <f>Schedule!C44</f>
        <v>Final business presentation preparation</v>
      </c>
      <c r="D52" s="34">
        <f>Schedule!F44</f>
        <v>46436</v>
      </c>
      <c r="E52" s="34">
        <f>Schedule!G44</f>
        <v>46441</v>
      </c>
      <c r="F52" s="32" t="str">
        <f>Schedule!O44</f>
        <v>Yes</v>
      </c>
      <c r="G52" s="32" t="s">
        <v>66</v>
      </c>
      <c r="H52" s="32" t="str">
        <f>Schedule!H44</f>
        <v>M5, A28</v>
      </c>
      <c r="I52" s="25" t="str">
        <f t="shared" ref="I52:Z52" si="42">IF(AND($G52="Milestone",$D52&gt;=I$4,$D52&lt;=I$4+6),"◆","")</f>
        <v/>
      </c>
      <c r="J52" s="25" t="str">
        <f t="shared" si="42"/>
        <v/>
      </c>
      <c r="K52" s="25" t="str">
        <f t="shared" si="42"/>
        <v/>
      </c>
      <c r="L52" s="25" t="str">
        <f t="shared" si="42"/>
        <v/>
      </c>
      <c r="M52" s="25" t="str">
        <f t="shared" si="42"/>
        <v/>
      </c>
      <c r="N52" s="25" t="str">
        <f t="shared" si="42"/>
        <v/>
      </c>
      <c r="O52" s="25" t="str">
        <f t="shared" si="42"/>
        <v/>
      </c>
      <c r="P52" s="25" t="str">
        <f t="shared" si="42"/>
        <v/>
      </c>
      <c r="Q52" s="25" t="str">
        <f t="shared" si="42"/>
        <v/>
      </c>
      <c r="R52" s="25" t="str">
        <f t="shared" si="42"/>
        <v/>
      </c>
      <c r="S52" s="25" t="str">
        <f t="shared" si="42"/>
        <v/>
      </c>
      <c r="T52" s="25" t="str">
        <f t="shared" si="42"/>
        <v/>
      </c>
      <c r="U52" s="25" t="str">
        <f t="shared" si="42"/>
        <v/>
      </c>
      <c r="V52" s="25" t="str">
        <f t="shared" si="42"/>
        <v/>
      </c>
      <c r="W52" s="25" t="str">
        <f t="shared" si="42"/>
        <v/>
      </c>
      <c r="X52" s="25" t="str">
        <f t="shared" si="42"/>
        <v/>
      </c>
      <c r="Y52" s="25" t="str">
        <f t="shared" si="42"/>
        <v/>
      </c>
      <c r="Z52" s="25" t="str">
        <f t="shared" si="42"/>
        <v/>
      </c>
    </row>
    <row r="53" spans="2:26" ht="15.75" customHeight="1" x14ac:dyDescent="0.25">
      <c r="B53" s="32" t="str">
        <f>Schedule!B45</f>
        <v>A31</v>
      </c>
      <c r="C53" s="33" t="str">
        <f>Schedule!C45</f>
        <v>Final presentation to ShopSmart leadership</v>
      </c>
      <c r="D53" s="34">
        <f>Schedule!F45</f>
        <v>46442</v>
      </c>
      <c r="E53" s="34">
        <f>Schedule!G45</f>
        <v>46442</v>
      </c>
      <c r="F53" s="32" t="str">
        <f>Schedule!O45</f>
        <v>Yes</v>
      </c>
      <c r="G53" s="32" t="s">
        <v>66</v>
      </c>
      <c r="H53" s="32" t="str">
        <f>Schedule!H45</f>
        <v>A29, A30</v>
      </c>
      <c r="I53" s="25" t="str">
        <f t="shared" ref="I53:Z53" si="43">IF(AND($G53="Milestone",$D53&gt;=I$4,$D53&lt;=I$4+6),"◆","")</f>
        <v/>
      </c>
      <c r="J53" s="25" t="str">
        <f t="shared" si="43"/>
        <v/>
      </c>
      <c r="K53" s="25" t="str">
        <f t="shared" si="43"/>
        <v/>
      </c>
      <c r="L53" s="25" t="str">
        <f t="shared" si="43"/>
        <v/>
      </c>
      <c r="M53" s="25" t="str">
        <f t="shared" si="43"/>
        <v/>
      </c>
      <c r="N53" s="25" t="str">
        <f t="shared" si="43"/>
        <v/>
      </c>
      <c r="O53" s="25" t="str">
        <f t="shared" si="43"/>
        <v/>
      </c>
      <c r="P53" s="25" t="str">
        <f t="shared" si="43"/>
        <v/>
      </c>
      <c r="Q53" s="25" t="str">
        <f t="shared" si="43"/>
        <v/>
      </c>
      <c r="R53" s="25" t="str">
        <f t="shared" si="43"/>
        <v/>
      </c>
      <c r="S53" s="25" t="str">
        <f t="shared" si="43"/>
        <v/>
      </c>
      <c r="T53" s="25" t="str">
        <f t="shared" si="43"/>
        <v/>
      </c>
      <c r="U53" s="25" t="str">
        <f t="shared" si="43"/>
        <v/>
      </c>
      <c r="V53" s="25" t="str">
        <f t="shared" si="43"/>
        <v/>
      </c>
      <c r="W53" s="25" t="str">
        <f t="shared" si="43"/>
        <v/>
      </c>
      <c r="X53" s="25" t="str">
        <f t="shared" si="43"/>
        <v/>
      </c>
      <c r="Y53" s="25" t="str">
        <f t="shared" si="43"/>
        <v/>
      </c>
      <c r="Z53" s="25" t="str">
        <f t="shared" si="43"/>
        <v/>
      </c>
    </row>
    <row r="54" spans="2:26" ht="15.75" customHeight="1" x14ac:dyDescent="0.25">
      <c r="B54" s="32" t="str">
        <f>Schedule!B46</f>
        <v>A32</v>
      </c>
      <c r="C54" s="33" t="str">
        <f>Schedule!C46</f>
        <v>Project closure, lessons learned and repository finalisation</v>
      </c>
      <c r="D54" s="34">
        <f>Schedule!F46</f>
        <v>46443</v>
      </c>
      <c r="E54" s="34">
        <f>Schedule!G46</f>
        <v>46447</v>
      </c>
      <c r="F54" s="32" t="str">
        <f>Schedule!O46</f>
        <v>Yes</v>
      </c>
      <c r="G54" s="32" t="s">
        <v>66</v>
      </c>
      <c r="H54" s="32" t="str">
        <f>Schedule!H46</f>
        <v>A31</v>
      </c>
      <c r="I54" s="25" t="str">
        <f t="shared" ref="I54:Z54" si="44">IF(AND($G54="Milestone",$D54&gt;=I$4,$D54&lt;=I$4+6),"◆","")</f>
        <v/>
      </c>
      <c r="J54" s="25" t="str">
        <f t="shared" si="44"/>
        <v/>
      </c>
      <c r="K54" s="25" t="str">
        <f t="shared" si="44"/>
        <v/>
      </c>
      <c r="L54" s="25" t="str">
        <f t="shared" si="44"/>
        <v/>
      </c>
      <c r="M54" s="25" t="str">
        <f t="shared" si="44"/>
        <v/>
      </c>
      <c r="N54" s="25" t="str">
        <f t="shared" si="44"/>
        <v/>
      </c>
      <c r="O54" s="25" t="str">
        <f t="shared" si="44"/>
        <v/>
      </c>
      <c r="P54" s="25" t="str">
        <f t="shared" si="44"/>
        <v/>
      </c>
      <c r="Q54" s="25" t="str">
        <f t="shared" si="44"/>
        <v/>
      </c>
      <c r="R54" s="25" t="str">
        <f t="shared" si="44"/>
        <v/>
      </c>
      <c r="S54" s="25" t="str">
        <f t="shared" si="44"/>
        <v/>
      </c>
      <c r="T54" s="25" t="str">
        <f t="shared" si="44"/>
        <v/>
      </c>
      <c r="U54" s="25" t="str">
        <f t="shared" si="44"/>
        <v/>
      </c>
      <c r="V54" s="25" t="str">
        <f t="shared" si="44"/>
        <v/>
      </c>
      <c r="W54" s="25" t="str">
        <f t="shared" si="44"/>
        <v/>
      </c>
      <c r="X54" s="25" t="str">
        <f t="shared" si="44"/>
        <v/>
      </c>
      <c r="Y54" s="25" t="str">
        <f t="shared" si="44"/>
        <v/>
      </c>
      <c r="Z54" s="25" t="str">
        <f t="shared" si="44"/>
        <v/>
      </c>
    </row>
    <row r="55" spans="2:26" ht="15.75" customHeight="1" x14ac:dyDescent="0.25">
      <c r="B55" s="32" t="str">
        <f>Schedule!B47</f>
        <v>M6</v>
      </c>
      <c r="C55" s="33" t="str">
        <f>Schedule!C47</f>
        <v>Milestone: Project Closed</v>
      </c>
      <c r="D55" s="34">
        <f>Schedule!F47</f>
        <v>46447</v>
      </c>
      <c r="E55" s="34">
        <f>Schedule!G47</f>
        <v>46447</v>
      </c>
      <c r="F55" s="32" t="str">
        <f>Schedule!O47</f>
        <v>Yes</v>
      </c>
      <c r="G55" s="32" t="s">
        <v>112</v>
      </c>
      <c r="H55" s="32" t="str">
        <f>Schedule!H47</f>
        <v>A32</v>
      </c>
      <c r="I55" s="25" t="str">
        <f t="shared" ref="I55:Z55" si="45">IF(AND($G55="Milestone",$D55&gt;=I$4,$D55&lt;=I$4+6),"◆","")</f>
        <v/>
      </c>
      <c r="J55" s="25" t="str">
        <f t="shared" si="45"/>
        <v/>
      </c>
      <c r="K55" s="25" t="str">
        <f t="shared" si="45"/>
        <v/>
      </c>
      <c r="L55" s="25" t="str">
        <f t="shared" si="45"/>
        <v/>
      </c>
      <c r="M55" s="25" t="str">
        <f t="shared" si="45"/>
        <v/>
      </c>
      <c r="N55" s="25" t="str">
        <f t="shared" si="45"/>
        <v/>
      </c>
      <c r="O55" s="25" t="str">
        <f t="shared" si="45"/>
        <v/>
      </c>
      <c r="P55" s="25" t="str">
        <f t="shared" si="45"/>
        <v/>
      </c>
      <c r="Q55" s="25" t="str">
        <f t="shared" si="45"/>
        <v/>
      </c>
      <c r="R55" s="25" t="str">
        <f t="shared" si="45"/>
        <v/>
      </c>
      <c r="S55" s="25" t="str">
        <f t="shared" si="45"/>
        <v/>
      </c>
      <c r="T55" s="25" t="str">
        <f t="shared" si="45"/>
        <v/>
      </c>
      <c r="U55" s="25" t="str">
        <f t="shared" si="45"/>
        <v/>
      </c>
      <c r="V55" s="25" t="str">
        <f t="shared" si="45"/>
        <v/>
      </c>
      <c r="W55" s="25" t="str">
        <f t="shared" si="45"/>
        <v/>
      </c>
      <c r="X55" s="25" t="str">
        <f t="shared" si="45"/>
        <v/>
      </c>
      <c r="Y55" s="25" t="str">
        <f t="shared" si="45"/>
        <v/>
      </c>
      <c r="Z55" s="25" t="str">
        <f t="shared" si="45"/>
        <v>◆</v>
      </c>
    </row>
    <row r="56" spans="2:26" ht="15.75" customHeight="1" x14ac:dyDescent="0.25"/>
    <row r="57" spans="2:26" ht="15.75" customHeight="1" x14ac:dyDescent="0.25"/>
    <row r="58" spans="2:26" ht="15.75" customHeight="1" x14ac:dyDescent="0.25"/>
    <row r="59" spans="2:26" ht="15.75" customHeight="1" x14ac:dyDescent="0.25"/>
    <row r="60" spans="2:26" ht="15.75" customHeight="1" x14ac:dyDescent="0.25"/>
    <row r="61" spans="2:26" ht="15.75" customHeight="1" x14ac:dyDescent="0.25"/>
    <row r="62" spans="2:26" ht="15.75" customHeight="1" x14ac:dyDescent="0.25"/>
    <row r="63" spans="2:26" ht="15.75" customHeight="1" x14ac:dyDescent="0.25"/>
    <row r="64" spans="2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conditionalFormatting sqref="I5:I47 J5:Z55 I49:I55">
    <cfRule type="expression" dxfId="3" priority="1">
      <formula>AND($G5="Milestone",$D5&gt;=I$4,$D5&lt;=I$4+6)</formula>
    </cfRule>
  </conditionalFormatting>
  <conditionalFormatting sqref="I5:I47 J5:Z55 I49:I55">
    <cfRule type="expression" dxfId="2" priority="2">
      <formula>AND($G5="Phase",$D5&lt;=I$4+6,$E5&gt;=I$4)</formula>
    </cfRule>
  </conditionalFormatting>
  <conditionalFormatting sqref="I5:I47 J5:Z55 I49:I55">
    <cfRule type="expression" dxfId="1" priority="3">
      <formula>AND($G5="Activity",$F5="Yes",$D5&lt;=I$4+6,$E5&gt;=I$4)</formula>
    </cfRule>
  </conditionalFormatting>
  <conditionalFormatting sqref="I5:I47 J5:Z55 I49:I55">
    <cfRule type="expression" dxfId="0" priority="4">
      <formula>AND($G5="Activity",$D5&lt;=I$4+6,$E5&gt;=I$4)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4"/>
  <sheetViews>
    <sheetView workbookViewId="0">
      <selection sqref="A1:A1048576"/>
    </sheetView>
  </sheetViews>
  <sheetFormatPr defaultColWidth="14.42578125" defaultRowHeight="15" customHeight="1" x14ac:dyDescent="0.25"/>
  <cols>
    <col min="1" max="1" width="3.28515625" customWidth="1"/>
    <col min="2" max="2" width="14" customWidth="1"/>
    <col min="3" max="3" width="58" customWidth="1"/>
    <col min="4" max="7" width="14" customWidth="1"/>
    <col min="8" max="27" width="8.7109375" customWidth="1"/>
  </cols>
  <sheetData>
    <row r="1" spans="2:7" ht="18" x14ac:dyDescent="0.25">
      <c r="B1" s="2" t="s">
        <v>3</v>
      </c>
    </row>
    <row r="2" spans="2:7" x14ac:dyDescent="0.25">
      <c r="B2" s="3"/>
      <c r="C2" s="3"/>
    </row>
    <row r="4" spans="2:7" x14ac:dyDescent="0.25">
      <c r="B4" s="4" t="s">
        <v>7</v>
      </c>
      <c r="D4" s="11">
        <f>MAX(Schedule!K5:K47)</f>
        <v>83</v>
      </c>
    </row>
    <row r="5" spans="2:7" x14ac:dyDescent="0.25">
      <c r="B5" s="4" t="s">
        <v>5</v>
      </c>
      <c r="D5" s="16">
        <f>Assumptions!$C$4</f>
        <v>46328</v>
      </c>
    </row>
    <row r="6" spans="2:7" x14ac:dyDescent="0.25">
      <c r="B6" s="4" t="s">
        <v>47</v>
      </c>
      <c r="D6" s="16">
        <f>MAX(Schedule!G5:G47)</f>
        <v>46447</v>
      </c>
    </row>
    <row r="7" spans="2:7" x14ac:dyDescent="0.25">
      <c r="B7" s="4" t="s">
        <v>57</v>
      </c>
      <c r="D7" s="11">
        <f>COUNTIFS(Schedule!O5:O47,"Yes",Schedule!E5:E47,"&gt;0")</f>
        <v>16</v>
      </c>
    </row>
    <row r="8" spans="2:7" x14ac:dyDescent="0.25">
      <c r="B8" s="4" t="s">
        <v>60</v>
      </c>
      <c r="D8" s="11">
        <f>COUNTIFS(Schedule!N5:N47,"&gt;0",Schedule!E5:E47,"&gt;0")</f>
        <v>16</v>
      </c>
    </row>
    <row r="10" spans="2:7" x14ac:dyDescent="0.25">
      <c r="B10" s="20" t="s">
        <v>64</v>
      </c>
    </row>
    <row r="11" spans="2:7" ht="24" customHeight="1" x14ac:dyDescent="0.25">
      <c r="B11" s="5" t="s">
        <v>8</v>
      </c>
      <c r="C11" s="5" t="s">
        <v>66</v>
      </c>
      <c r="D11" s="5" t="s">
        <v>68</v>
      </c>
      <c r="E11" s="5" t="s">
        <v>13</v>
      </c>
      <c r="F11" s="5" t="s">
        <v>16</v>
      </c>
      <c r="G11" s="5" t="s">
        <v>69</v>
      </c>
    </row>
    <row r="12" spans="2:7" x14ac:dyDescent="0.25">
      <c r="B12" s="23" t="s">
        <v>32</v>
      </c>
      <c r="C12" s="24" t="str">
        <f t="array" ref="C12">INDEX(Schedule!$C$5:$C$47,MATCH($B12,Schedule!$B$5:$B$47,0))</f>
        <v>Project kick-off and sign-off of execution plan</v>
      </c>
      <c r="D12" s="23">
        <f t="array" ref="D12">INDEX(Schedule!$E$5:$E$47,MATCH($B12,Schedule!$B$5:$B$47,0))</f>
        <v>2</v>
      </c>
      <c r="E12" s="31">
        <f t="array" ref="E12">INDEX(Schedule!$F$5:$F$47,MATCH($B12,Schedule!$B$5:$B$47,0))</f>
        <v>46328</v>
      </c>
      <c r="F12" s="31">
        <f t="array" ref="F12">INDEX(Schedule!$G$5:$G$47,MATCH($B12,Schedule!$B$5:$B$47,0))</f>
        <v>46329</v>
      </c>
      <c r="G12" s="23">
        <f t="array" ref="G12">INDEX(Schedule!$N$5:$N$47,MATCH($B12,Schedule!$B$5:$B$47,0))</f>
        <v>0</v>
      </c>
    </row>
    <row r="13" spans="2:7" x14ac:dyDescent="0.25">
      <c r="B13" s="23" t="s">
        <v>70</v>
      </c>
      <c r="C13" s="24" t="str">
        <f t="array" ref="C13">INDEX(Schedule!$C$5:$C$47,MATCH($B13,Schedule!$B$5:$B$47,0))</f>
        <v>Dataset handover and file validation (9 CSV files and data dictionary)</v>
      </c>
      <c r="D13" s="23">
        <f t="array" ref="D13">INDEX(Schedule!$E$5:$E$47,MATCH($B13,Schedule!$B$5:$B$47,0))</f>
        <v>4</v>
      </c>
      <c r="E13" s="31">
        <f t="array" ref="E13">INDEX(Schedule!$F$5:$F$47,MATCH($B13,Schedule!$B$5:$B$47,0))</f>
        <v>46330</v>
      </c>
      <c r="F13" s="31">
        <f t="array" ref="F13">INDEX(Schedule!$G$5:$G$47,MATCH($B13,Schedule!$B$5:$B$47,0))</f>
        <v>46335</v>
      </c>
      <c r="G13" s="23">
        <f t="array" ref="G13">INDEX(Schedule!$N$5:$N$47,MATCH($B13,Schedule!$B$5:$B$47,0))</f>
        <v>0</v>
      </c>
    </row>
    <row r="14" spans="2:7" x14ac:dyDescent="0.25">
      <c r="B14" s="38"/>
      <c r="C14" s="39"/>
      <c r="D14" s="38"/>
      <c r="E14" s="40"/>
      <c r="F14" s="40"/>
      <c r="G14" s="38"/>
    </row>
    <row r="15" spans="2:7" x14ac:dyDescent="0.25">
      <c r="B15" s="38" t="s">
        <v>73</v>
      </c>
      <c r="C15" s="39" t="str">
        <f t="array" ref="C15">INDEX(Schedule!$C$5:$C$47,MATCH($B15,Schedule!$B$5:$B$47,0))</f>
        <v>Milestone: Project Mobilised</v>
      </c>
      <c r="D15" s="38">
        <f t="array" ref="D15">INDEX(Schedule!$E$5:$E$47,MATCH($B15,Schedule!$B$5:$B$47,0))</f>
        <v>0</v>
      </c>
      <c r="E15" s="40">
        <f t="array" ref="E15">INDEX(Schedule!$F$5:$F$47,MATCH($B15,Schedule!$B$5:$B$47,0))</f>
        <v>46335</v>
      </c>
      <c r="F15" s="40">
        <f t="array" ref="F15">INDEX(Schedule!$G$5:$G$47,MATCH($B15,Schedule!$B$5:$B$47,0))</f>
        <v>46335</v>
      </c>
      <c r="G15" s="38">
        <f t="array" ref="G15">INDEX(Schedule!$N$5:$N$47,MATCH($B15,Schedule!$B$5:$B$47,0))</f>
        <v>0</v>
      </c>
    </row>
    <row r="16" spans="2:7" x14ac:dyDescent="0.25">
      <c r="B16" s="23" t="s">
        <v>81</v>
      </c>
      <c r="C16" s="24" t="str">
        <f t="array" ref="C16">INDEX(Schedule!$C$5:$C$47,MATCH($B16,Schedule!$B$5:$B$47,0))</f>
        <v>Data profiling and quality assessment</v>
      </c>
      <c r="D16" s="23">
        <f t="array" ref="D16">INDEX(Schedule!$E$5:$E$47,MATCH($B16,Schedule!$B$5:$B$47,0))</f>
        <v>5</v>
      </c>
      <c r="E16" s="31">
        <f t="array" ref="E16">INDEX(Schedule!$F$5:$F$47,MATCH($B16,Schedule!$B$5:$B$47,0))</f>
        <v>46336</v>
      </c>
      <c r="F16" s="31">
        <f t="array" ref="F16">INDEX(Schedule!$G$5:$G$47,MATCH($B16,Schedule!$B$5:$B$47,0))</f>
        <v>46342</v>
      </c>
      <c r="G16" s="23">
        <f t="array" ref="G16">INDEX(Schedule!$N$5:$N$47,MATCH($B16,Schedule!$B$5:$B$47,0))</f>
        <v>0</v>
      </c>
    </row>
    <row r="17" spans="2:7" x14ac:dyDescent="0.25">
      <c r="B17" s="23" t="s">
        <v>89</v>
      </c>
      <c r="C17" s="24" t="str">
        <f t="array" ref="C17">INDEX(Schedule!$C$5:$C$47,MATCH($B17,Schedule!$B$5:$B$47,0))</f>
        <v>Data cleaning and standardisation</v>
      </c>
      <c r="D17" s="23">
        <f t="array" ref="D17">INDEX(Schedule!$E$5:$E$47,MATCH($B17,Schedule!$B$5:$B$47,0))</f>
        <v>8</v>
      </c>
      <c r="E17" s="31">
        <f t="array" ref="E17">INDEX(Schedule!$F$5:$F$47,MATCH($B17,Schedule!$B$5:$B$47,0))</f>
        <v>46343</v>
      </c>
      <c r="F17" s="31">
        <f t="array" ref="F17">INDEX(Schedule!$G$5:$G$47,MATCH($B17,Schedule!$B$5:$B$47,0))</f>
        <v>46352</v>
      </c>
      <c r="G17" s="23">
        <f t="array" ref="G17">INDEX(Schedule!$N$5:$N$47,MATCH($B17,Schedule!$B$5:$B$47,0))</f>
        <v>0</v>
      </c>
    </row>
    <row r="18" spans="2:7" x14ac:dyDescent="0.25">
      <c r="B18" s="23" t="s">
        <v>96</v>
      </c>
      <c r="C18" s="24" t="str">
        <f t="array" ref="C18">INDEX(Schedule!$C$5:$C$47,MATCH($B18,Schedule!$B$5:$B$47,0))</f>
        <v>Data validation and reconciliation checks</v>
      </c>
      <c r="D18" s="23">
        <f t="array" ref="D18">INDEX(Schedule!$E$5:$E$47,MATCH($B18,Schedule!$B$5:$B$47,0))</f>
        <v>4</v>
      </c>
      <c r="E18" s="31">
        <f t="array" ref="E18">INDEX(Schedule!$F$5:$F$47,MATCH($B18,Schedule!$B$5:$B$47,0))</f>
        <v>46353</v>
      </c>
      <c r="F18" s="31">
        <f t="array" ref="F18">INDEX(Schedule!$G$5:$G$47,MATCH($B18,Schedule!$B$5:$B$47,0))</f>
        <v>46358</v>
      </c>
      <c r="G18" s="23">
        <f t="array" ref="G18">INDEX(Schedule!$N$5:$N$47,MATCH($B18,Schedule!$B$5:$B$47,0))</f>
        <v>0</v>
      </c>
    </row>
    <row r="19" spans="2:7" x14ac:dyDescent="0.25">
      <c r="B19" s="38"/>
      <c r="C19" s="39"/>
      <c r="D19" s="38"/>
      <c r="E19" s="40"/>
      <c r="F19" s="40"/>
      <c r="G19" s="38"/>
    </row>
    <row r="20" spans="2:7" x14ac:dyDescent="0.25">
      <c r="B20" s="38" t="s">
        <v>115</v>
      </c>
      <c r="C20" s="39" t="str">
        <f t="array" ref="C20">INDEX(Schedule!$C$5:$C$47,MATCH($B20,Schedule!$B$5:$B$47,0))</f>
        <v>Milestone: Clean Dataset and Requirements Baselined</v>
      </c>
      <c r="D20" s="38">
        <f t="array" ref="D20">INDEX(Schedule!$E$5:$E$47,MATCH($B20,Schedule!$B$5:$B$47,0))</f>
        <v>0</v>
      </c>
      <c r="E20" s="40">
        <f t="array" ref="E20">INDEX(Schedule!$F$5:$F$47,MATCH($B20,Schedule!$B$5:$B$47,0))</f>
        <v>46358</v>
      </c>
      <c r="F20" s="40">
        <f t="array" ref="F20">INDEX(Schedule!$G$5:$G$47,MATCH($B20,Schedule!$B$5:$B$47,0))</f>
        <v>46358</v>
      </c>
      <c r="G20" s="38">
        <f t="array" ref="G20">INDEX(Schedule!$N$5:$N$47,MATCH($B20,Schedule!$B$5:$B$47,0))</f>
        <v>0</v>
      </c>
    </row>
    <row r="21" spans="2:7" x14ac:dyDescent="0.25">
      <c r="B21" s="23" t="s">
        <v>167</v>
      </c>
      <c r="C21" s="24" t="str">
        <f t="array" ref="C21">INDEX(Schedule!$C$5:$C$47,MATCH($B21,Schedule!$B$5:$B$47,0))</f>
        <v>Exploratory data analysis and statistical insights</v>
      </c>
      <c r="D21" s="23">
        <f t="array" ref="D21">INDEX(Schedule!$E$5:$E$47,MATCH($B21,Schedule!$B$5:$B$47,0))</f>
        <v>7</v>
      </c>
      <c r="E21" s="31">
        <f t="array" ref="E21">INDEX(Schedule!$F$5:$F$47,MATCH($B21,Schedule!$B$5:$B$47,0))</f>
        <v>46359</v>
      </c>
      <c r="F21" s="31">
        <f t="array" ref="F21">INDEX(Schedule!$G$5:$G$47,MATCH($B21,Schedule!$B$5:$B$47,0))</f>
        <v>46367</v>
      </c>
      <c r="G21" s="23">
        <f t="array" ref="G21">INDEX(Schedule!$N$5:$N$47,MATCH($B21,Schedule!$B$5:$B$47,0))</f>
        <v>0</v>
      </c>
    </row>
    <row r="22" spans="2:7" x14ac:dyDescent="0.25">
      <c r="B22" s="23" t="s">
        <v>215</v>
      </c>
      <c r="C22" s="24" t="str">
        <f t="array" ref="C22">INDEX(Schedule!$C$5:$C$47,MATCH($B22,Schedule!$B$5:$B$47,0))</f>
        <v>Feature engineering pipeline</v>
      </c>
      <c r="D22" s="23">
        <f t="array" ref="D22">INDEX(Schedule!$E$5:$E$47,MATCH($B22,Schedule!$B$5:$B$47,0))</f>
        <v>8</v>
      </c>
      <c r="E22" s="31">
        <f t="array" ref="E22">INDEX(Schedule!$F$5:$F$47,MATCH($B22,Schedule!$B$5:$B$47,0))</f>
        <v>46370</v>
      </c>
      <c r="F22" s="31">
        <f t="array" ref="F22">INDEX(Schedule!$G$5:$G$47,MATCH($B22,Schedule!$B$5:$B$47,0))</f>
        <v>46379</v>
      </c>
      <c r="G22" s="23">
        <f t="array" ref="G22">INDEX(Schedule!$N$5:$N$47,MATCH($B22,Schedule!$B$5:$B$47,0))</f>
        <v>0</v>
      </c>
    </row>
    <row r="23" spans="2:7" ht="15.75" customHeight="1" x14ac:dyDescent="0.25">
      <c r="B23" s="23" t="s">
        <v>219</v>
      </c>
      <c r="C23" s="24" t="str">
        <f t="array" ref="C23">INDEX(Schedule!$C$5:$C$47,MATCH($B23,Schedule!$B$5:$B$47,0))</f>
        <v>Customer segmentation model</v>
      </c>
      <c r="D23" s="23">
        <f t="array" ref="D23">INDEX(Schedule!$E$5:$E$47,MATCH($B23,Schedule!$B$5:$B$47,0))</f>
        <v>8</v>
      </c>
      <c r="E23" s="31">
        <f t="array" ref="E23">INDEX(Schedule!$F$5:$F$47,MATCH($B23,Schedule!$B$5:$B$47,0))</f>
        <v>46380</v>
      </c>
      <c r="F23" s="31">
        <f t="array" ref="F23">INDEX(Schedule!$G$5:$G$47,MATCH($B23,Schedule!$B$5:$B$47,0))</f>
        <v>46394</v>
      </c>
      <c r="G23" s="23">
        <f t="array" ref="G23">INDEX(Schedule!$N$5:$N$47,MATCH($B23,Schedule!$B$5:$B$47,0))</f>
        <v>0</v>
      </c>
    </row>
    <row r="24" spans="2:7" ht="15.75" customHeight="1" x14ac:dyDescent="0.25">
      <c r="B24" s="23" t="s">
        <v>225</v>
      </c>
      <c r="C24" s="24" t="str">
        <f t="array" ref="C24">INDEX(Schedule!$C$5:$C$47,MATCH($B24,Schedule!$B$5:$B$47,0))</f>
        <v>Product recommendation prototype</v>
      </c>
      <c r="D24" s="23">
        <f t="array" ref="D24">INDEX(Schedule!$E$5:$E$47,MATCH($B24,Schedule!$B$5:$B$47,0))</f>
        <v>8</v>
      </c>
      <c r="E24" s="31">
        <f t="array" ref="E24">INDEX(Schedule!$F$5:$F$47,MATCH($B24,Schedule!$B$5:$B$47,0))</f>
        <v>46395</v>
      </c>
      <c r="F24" s="31">
        <f t="array" ref="F24">INDEX(Schedule!$G$5:$G$47,MATCH($B24,Schedule!$B$5:$B$47,0))</f>
        <v>46406</v>
      </c>
      <c r="G24" s="23">
        <f t="array" ref="G24">INDEX(Schedule!$N$5:$N$47,MATCH($B24,Schedule!$B$5:$B$47,0))</f>
        <v>0</v>
      </c>
    </row>
    <row r="25" spans="2:7" ht="15.75" customHeight="1" x14ac:dyDescent="0.25">
      <c r="B25" s="23" t="s">
        <v>238</v>
      </c>
      <c r="C25" s="24" t="str">
        <f t="array" ref="C25">INDEX(Schedule!$C$5:$C$47,MATCH($B25,Schedule!$B$5:$B$47,0))</f>
        <v>Model evaluation and evaluation report</v>
      </c>
      <c r="D25" s="23">
        <f t="array" ref="D25">INDEX(Schedule!$E$5:$E$47,MATCH($B25,Schedule!$B$5:$B$47,0))</f>
        <v>5</v>
      </c>
      <c r="E25" s="31">
        <f t="array" ref="E25">INDEX(Schedule!$F$5:$F$47,MATCH($B25,Schedule!$B$5:$B$47,0))</f>
        <v>46407</v>
      </c>
      <c r="F25" s="31">
        <f t="array" ref="F25">INDEX(Schedule!$G$5:$G$47,MATCH($B25,Schedule!$B$5:$B$47,0))</f>
        <v>46413</v>
      </c>
      <c r="G25" s="23">
        <f t="array" ref="G25">INDEX(Schedule!$N$5:$N$47,MATCH($B25,Schedule!$B$5:$B$47,0))</f>
        <v>0</v>
      </c>
    </row>
    <row r="26" spans="2:7" ht="15.75" customHeight="1" x14ac:dyDescent="0.25">
      <c r="B26" s="38"/>
      <c r="C26" s="39"/>
      <c r="D26" s="38"/>
      <c r="E26" s="40"/>
      <c r="F26" s="40"/>
      <c r="G26" s="38"/>
    </row>
    <row r="27" spans="2:7" ht="15.75" customHeight="1" x14ac:dyDescent="0.25">
      <c r="B27" s="38" t="s">
        <v>245</v>
      </c>
      <c r="C27" s="39" t="str">
        <f t="array" ref="C27">INDEX(Schedule!$C$5:$C$47,MATCH($B27,Schedule!$B$5:$B$47,0))</f>
        <v>Milestone: All Workstream Deliverables Built</v>
      </c>
      <c r="D27" s="38">
        <f t="array" ref="D27">INDEX(Schedule!$E$5:$E$47,MATCH($B27,Schedule!$B$5:$B$47,0))</f>
        <v>0</v>
      </c>
      <c r="E27" s="40">
        <f t="array" ref="E27">INDEX(Schedule!$F$5:$F$47,MATCH($B27,Schedule!$B$5:$B$47,0))</f>
        <v>46413</v>
      </c>
      <c r="F27" s="40">
        <f t="array" ref="F27">INDEX(Schedule!$G$5:$G$47,MATCH($B27,Schedule!$B$5:$B$47,0))</f>
        <v>46413</v>
      </c>
      <c r="G27" s="38">
        <f t="array" ref="G27">INDEX(Schedule!$N$5:$N$47,MATCH($B27,Schedule!$B$5:$B$47,0))</f>
        <v>0</v>
      </c>
    </row>
    <row r="28" spans="2:7" ht="15.75" customHeight="1" x14ac:dyDescent="0.25">
      <c r="B28" s="23" t="s">
        <v>178</v>
      </c>
      <c r="C28" s="24" t="str">
        <f t="array" ref="C28">INDEX(Schedule!$C$5:$C$47,MATCH($B28,Schedule!$B$5:$B$47,0))</f>
        <v>Copilot testing and prompt evaluation</v>
      </c>
      <c r="D28" s="23">
        <f t="array" ref="D28">INDEX(Schedule!$E$5:$E$47,MATCH($B28,Schedule!$B$5:$B$47,0))</f>
        <v>6</v>
      </c>
      <c r="E28" s="31">
        <f t="array" ref="E28">INDEX(Schedule!$F$5:$F$47,MATCH($B28,Schedule!$B$5:$B$47,0))</f>
        <v>46414</v>
      </c>
      <c r="F28" s="31">
        <f t="array" ref="F28">INDEX(Schedule!$G$5:$G$47,MATCH($B28,Schedule!$B$5:$B$47,0))</f>
        <v>46421</v>
      </c>
      <c r="G28" s="23">
        <f t="array" ref="G28">INDEX(Schedule!$N$5:$N$47,MATCH($B28,Schedule!$B$5:$B$47,0))</f>
        <v>0</v>
      </c>
    </row>
    <row r="29" spans="2:7" ht="15.75" customHeight="1" x14ac:dyDescent="0.25">
      <c r="B29" s="23" t="s">
        <v>268</v>
      </c>
      <c r="C29" s="24" t="str">
        <f t="array" ref="C29">INDEX(Schedule!$C$5:$C$47,MATCH($B29,Schedule!$B$5:$B$47,0))</f>
        <v>User acceptance testing with ShopSmart managers</v>
      </c>
      <c r="D29" s="23">
        <f t="array" ref="D29">INDEX(Schedule!$E$5:$E$47,MATCH($B29,Schedule!$B$5:$B$47,0))</f>
        <v>5</v>
      </c>
      <c r="E29" s="31">
        <f t="array" ref="E29">INDEX(Schedule!$F$5:$F$47,MATCH($B29,Schedule!$B$5:$B$47,0))</f>
        <v>46422</v>
      </c>
      <c r="F29" s="31">
        <f t="array" ref="F29">INDEX(Schedule!$G$5:$G$47,MATCH($B29,Schedule!$B$5:$B$47,0))</f>
        <v>46428</v>
      </c>
      <c r="G29" s="23">
        <f t="array" ref="G29">INDEX(Schedule!$N$5:$N$47,MATCH($B29,Schedule!$B$5:$B$47,0))</f>
        <v>0</v>
      </c>
    </row>
    <row r="30" spans="2:7" ht="15.75" customHeight="1" x14ac:dyDescent="0.25">
      <c r="B30" s="23" t="s">
        <v>281</v>
      </c>
      <c r="C30" s="24" t="str">
        <f t="array" ref="C30">INDEX(Schedule!$C$5:$C$47,MATCH($B30,Schedule!$B$5:$B$47,0))</f>
        <v>Defect fixing and retesting</v>
      </c>
      <c r="D30" s="23">
        <f t="array" ref="D30">INDEX(Schedule!$E$5:$E$47,MATCH($B30,Schedule!$B$5:$B$47,0))</f>
        <v>5</v>
      </c>
      <c r="E30" s="31">
        <f t="array" ref="E30">INDEX(Schedule!$F$5:$F$47,MATCH($B30,Schedule!$B$5:$B$47,0))</f>
        <v>46429</v>
      </c>
      <c r="F30" s="31">
        <f t="array" ref="F30">INDEX(Schedule!$G$5:$G$47,MATCH($B30,Schedule!$B$5:$B$47,0))</f>
        <v>46435</v>
      </c>
      <c r="G30" s="23">
        <f t="array" ref="G30">INDEX(Schedule!$N$5:$N$47,MATCH($B30,Schedule!$B$5:$B$47,0))</f>
        <v>0</v>
      </c>
    </row>
    <row r="31" spans="2:7" ht="15.75" customHeight="1" x14ac:dyDescent="0.25">
      <c r="B31" s="38"/>
      <c r="C31" s="39"/>
      <c r="D31" s="38"/>
      <c r="E31" s="40"/>
      <c r="F31" s="40"/>
      <c r="G31" s="38"/>
    </row>
    <row r="32" spans="2:7" ht="15.75" customHeight="1" x14ac:dyDescent="0.25">
      <c r="B32" s="38" t="s">
        <v>297</v>
      </c>
      <c r="C32" s="39" t="str">
        <f t="array" ref="C32">INDEX(Schedule!$C$5:$C$47,MATCH($B32,Schedule!$B$5:$B$47,0))</f>
        <v>Milestone: Deliverables Accepted</v>
      </c>
      <c r="D32" s="38">
        <f t="array" ref="D32">INDEX(Schedule!$E$5:$E$47,MATCH($B32,Schedule!$B$5:$B$47,0))</f>
        <v>0</v>
      </c>
      <c r="E32" s="40">
        <f t="array" ref="E32">INDEX(Schedule!$F$5:$F$47,MATCH($B32,Schedule!$B$5:$B$47,0))</f>
        <v>46435</v>
      </c>
      <c r="F32" s="40">
        <f t="array" ref="F32">INDEX(Schedule!$G$5:$G$47,MATCH($B32,Schedule!$B$5:$B$47,0))</f>
        <v>46435</v>
      </c>
      <c r="G32" s="38">
        <f t="array" ref="G32">INDEX(Schedule!$N$5:$N$47,MATCH($B32,Schedule!$B$5:$B$47,0))</f>
        <v>0</v>
      </c>
    </row>
    <row r="33" spans="2:7" ht="15.75" customHeight="1" x14ac:dyDescent="0.25">
      <c r="B33" s="23" t="s">
        <v>309</v>
      </c>
      <c r="C33" s="24" t="str">
        <f t="array" ref="C33">INDEX(Schedule!$C$5:$C$47,MATCH($B33,Schedule!$B$5:$B$47,0))</f>
        <v>Final business presentation preparation</v>
      </c>
      <c r="D33" s="23">
        <f t="array" ref="D33">INDEX(Schedule!$E$5:$E$47,MATCH($B33,Schedule!$B$5:$B$47,0))</f>
        <v>4</v>
      </c>
      <c r="E33" s="31">
        <f t="array" ref="E33">INDEX(Schedule!$F$5:$F$47,MATCH($B33,Schedule!$B$5:$B$47,0))</f>
        <v>46436</v>
      </c>
      <c r="F33" s="31">
        <f t="array" ref="F33">INDEX(Schedule!$G$5:$G$47,MATCH($B33,Schedule!$B$5:$B$47,0))</f>
        <v>46441</v>
      </c>
      <c r="G33" s="23">
        <f t="array" ref="G33">INDEX(Schedule!$N$5:$N$47,MATCH($B33,Schedule!$B$5:$B$47,0))</f>
        <v>0</v>
      </c>
    </row>
    <row r="34" spans="2:7" ht="15.75" customHeight="1" x14ac:dyDescent="0.25">
      <c r="B34" s="23" t="s">
        <v>321</v>
      </c>
      <c r="C34" s="24" t="str">
        <f t="array" ref="C34">INDEX(Schedule!$C$5:$C$47,MATCH($B34,Schedule!$B$5:$B$47,0))</f>
        <v>Final presentation to ShopSmart leadership</v>
      </c>
      <c r="D34" s="23">
        <f t="array" ref="D34">INDEX(Schedule!$E$5:$E$47,MATCH($B34,Schedule!$B$5:$B$47,0))</f>
        <v>1</v>
      </c>
      <c r="E34" s="31">
        <f t="array" ref="E34">INDEX(Schedule!$F$5:$F$47,MATCH($B34,Schedule!$B$5:$B$47,0))</f>
        <v>46442</v>
      </c>
      <c r="F34" s="31">
        <f t="array" ref="F34">INDEX(Schedule!$G$5:$G$47,MATCH($B34,Schedule!$B$5:$B$47,0))</f>
        <v>46442</v>
      </c>
      <c r="G34" s="23">
        <f t="array" ref="G34">INDEX(Schedule!$N$5:$N$47,MATCH($B34,Schedule!$B$5:$B$47,0))</f>
        <v>0</v>
      </c>
    </row>
    <row r="35" spans="2:7" ht="15.75" customHeight="1" x14ac:dyDescent="0.25">
      <c r="B35" s="23" t="s">
        <v>327</v>
      </c>
      <c r="C35" s="24" t="str">
        <f t="array" ref="C35">INDEX(Schedule!$C$5:$C$47,MATCH($B35,Schedule!$B$5:$B$47,0))</f>
        <v>Project closure, lessons learned and repository finalisation</v>
      </c>
      <c r="D35" s="23">
        <f t="array" ref="D35">INDEX(Schedule!$E$5:$E$47,MATCH($B35,Schedule!$B$5:$B$47,0))</f>
        <v>3</v>
      </c>
      <c r="E35" s="31">
        <f t="array" ref="E35">INDEX(Schedule!$F$5:$F$47,MATCH($B35,Schedule!$B$5:$B$47,0))</f>
        <v>46443</v>
      </c>
      <c r="F35" s="31">
        <f t="array" ref="F35">INDEX(Schedule!$G$5:$G$47,MATCH($B35,Schedule!$B$5:$B$47,0))</f>
        <v>46447</v>
      </c>
      <c r="G35" s="23">
        <f t="array" ref="G35">INDEX(Schedule!$N$5:$N$47,MATCH($B35,Schedule!$B$5:$B$47,0))</f>
        <v>0</v>
      </c>
    </row>
    <row r="36" spans="2:7" ht="15.75" customHeight="1" x14ac:dyDescent="0.25">
      <c r="B36" s="38" t="s">
        <v>332</v>
      </c>
      <c r="C36" s="39" t="str">
        <f t="array" ref="C36">INDEX(Schedule!$C$5:$C$47,MATCH($B36,Schedule!$B$5:$B$47,0))</f>
        <v>Milestone: Project Closed</v>
      </c>
      <c r="D36" s="38">
        <f t="array" ref="D36">INDEX(Schedule!$E$5:$E$47,MATCH($B36,Schedule!$B$5:$B$47,0))</f>
        <v>0</v>
      </c>
      <c r="E36" s="40">
        <f t="array" ref="E36">INDEX(Schedule!$F$5:$F$47,MATCH($B36,Schedule!$B$5:$B$47,0))</f>
        <v>46447</v>
      </c>
      <c r="F36" s="40">
        <f t="array" ref="F36">INDEX(Schedule!$G$5:$G$47,MATCH($B36,Schedule!$B$5:$B$47,0))</f>
        <v>46447</v>
      </c>
      <c r="G36" s="38">
        <f t="array" ref="G36">INDEX(Schedule!$N$5:$N$47,MATCH($B36,Schedule!$B$5:$B$47,0))</f>
        <v>0</v>
      </c>
    </row>
    <row r="37" spans="2:7" ht="15.75" customHeight="1" x14ac:dyDescent="0.25"/>
    <row r="38" spans="2:7" ht="15.75" customHeight="1" x14ac:dyDescent="0.25">
      <c r="B38" s="60" t="s">
        <v>335</v>
      </c>
    </row>
    <row r="39" spans="2:7" ht="24" customHeight="1" x14ac:dyDescent="0.25">
      <c r="B39" s="5" t="s">
        <v>8</v>
      </c>
      <c r="C39" s="5" t="s">
        <v>66</v>
      </c>
      <c r="D39" s="5" t="s">
        <v>68</v>
      </c>
      <c r="E39" s="5" t="s">
        <v>13</v>
      </c>
      <c r="F39" s="5" t="s">
        <v>16</v>
      </c>
      <c r="G39" s="5" t="s">
        <v>336</v>
      </c>
    </row>
    <row r="40" spans="2:7" ht="15.75" customHeight="1" x14ac:dyDescent="0.25">
      <c r="B40" s="23" t="s">
        <v>61</v>
      </c>
      <c r="C40" s="24" t="str">
        <f t="array" ref="C40">INDEX(Schedule!$C$5:$C$47,MATCH($B40,Schedule!$B$5:$B$47,0))</f>
        <v>Tools, access and environment setup (Power BI, Python, GitHub, API keys)</v>
      </c>
      <c r="D40" s="23">
        <f t="array" ref="D40">INDEX(Schedule!$E$5:$E$47,MATCH($B40,Schedule!$B$5:$B$47,0))</f>
        <v>3</v>
      </c>
      <c r="E40" s="31">
        <f t="array" ref="E40">INDEX(Schedule!$F$5:$F$47,MATCH($B40,Schedule!$B$5:$B$47,0))</f>
        <v>46330</v>
      </c>
      <c r="F40" s="31">
        <f t="array" ref="F40">INDEX(Schedule!$G$5:$G$47,MATCH($B40,Schedule!$B$5:$B$47,0))</f>
        <v>46332</v>
      </c>
      <c r="G40" s="23">
        <f t="array" ref="G40">INDEX(Schedule!$N$5:$N$47,MATCH($B40,Schedule!$B$5:$B$47,0))</f>
        <v>1</v>
      </c>
    </row>
    <row r="41" spans="2:7" ht="15.75" customHeight="1" x14ac:dyDescent="0.25">
      <c r="B41" s="23" t="s">
        <v>103</v>
      </c>
      <c r="C41" s="24" t="str">
        <f t="array" ref="C41">INDEX(Schedule!$C$5:$C$47,MATCH($B41,Schedule!$B$5:$B$47,0))</f>
        <v>Requirements workshops with ShopSmart managers</v>
      </c>
      <c r="D41" s="23">
        <f t="array" ref="D41">INDEX(Schedule!$E$5:$E$47,MATCH($B41,Schedule!$B$5:$B$47,0))</f>
        <v>6</v>
      </c>
      <c r="E41" s="31">
        <f t="array" ref="E41">INDEX(Schedule!$F$5:$F$47,MATCH($B41,Schedule!$B$5:$B$47,0))</f>
        <v>46336</v>
      </c>
      <c r="F41" s="31">
        <f t="array" ref="F41">INDEX(Schedule!$G$5:$G$47,MATCH($B41,Schedule!$B$5:$B$47,0))</f>
        <v>46343</v>
      </c>
      <c r="G41" s="23">
        <f t="array" ref="G41">INDEX(Schedule!$N$5:$N$47,MATCH($B41,Schedule!$B$5:$B$47,0))</f>
        <v>11</v>
      </c>
    </row>
    <row r="42" spans="2:7" ht="15.75" customHeight="1" x14ac:dyDescent="0.25">
      <c r="B42" s="23" t="s">
        <v>201</v>
      </c>
      <c r="C42" s="24" t="str">
        <f t="array" ref="C42">INDEX(Schedule!$C$5:$C$47,MATCH($B42,Schedule!$B$5:$B$47,0))</f>
        <v>Sales dashboard development</v>
      </c>
      <c r="D42" s="23">
        <f t="array" ref="D42">INDEX(Schedule!$E$5:$E$47,MATCH($B42,Schedule!$B$5:$B$47,0))</f>
        <v>8</v>
      </c>
      <c r="E42" s="31">
        <f t="array" ref="E42">INDEX(Schedule!$F$5:$F$47,MATCH($B42,Schedule!$B$5:$B$47,0))</f>
        <v>46359</v>
      </c>
      <c r="F42" s="31">
        <f t="array" ref="F42">INDEX(Schedule!$G$5:$G$47,MATCH($B42,Schedule!$B$5:$B$47,0))</f>
        <v>46370</v>
      </c>
      <c r="G42" s="23">
        <f t="array" ref="G42">INDEX(Schedule!$N$5:$N$47,MATCH($B42,Schedule!$B$5:$B$47,0))</f>
        <v>18</v>
      </c>
    </row>
    <row r="43" spans="2:7" ht="15.75" customHeight="1" x14ac:dyDescent="0.25">
      <c r="B43" s="23" t="s">
        <v>209</v>
      </c>
      <c r="C43" s="24" t="str">
        <f t="array" ref="C43">INDEX(Schedule!$C$5:$C$47,MATCH($B43,Schedule!$B$5:$B$47,0))</f>
        <v>Customer dashboard development</v>
      </c>
      <c r="D43" s="23">
        <f t="array" ref="D43">INDEX(Schedule!$E$5:$E$47,MATCH($B43,Schedule!$B$5:$B$47,0))</f>
        <v>7</v>
      </c>
      <c r="E43" s="31">
        <f t="array" ref="E43">INDEX(Schedule!$F$5:$F$47,MATCH($B43,Schedule!$B$5:$B$47,0))</f>
        <v>46359</v>
      </c>
      <c r="F43" s="31">
        <f t="array" ref="F43">INDEX(Schedule!$G$5:$G$47,MATCH($B43,Schedule!$B$5:$B$47,0))</f>
        <v>46367</v>
      </c>
      <c r="G43" s="23">
        <f t="array" ref="G43">INDEX(Schedule!$N$5:$N$47,MATCH($B43,Schedule!$B$5:$B$47,0))</f>
        <v>19</v>
      </c>
    </row>
    <row r="44" spans="2:7" ht="15.75" customHeight="1" x14ac:dyDescent="0.25">
      <c r="B44" s="23" t="s">
        <v>211</v>
      </c>
      <c r="C44" s="24" t="str">
        <f t="array" ref="C44">INDEX(Schedule!$C$5:$C$47,MATCH($B44,Schedule!$B$5:$B$47,0))</f>
        <v>Store performance dashboard development</v>
      </c>
      <c r="D44" s="23">
        <f t="array" ref="D44">INDEX(Schedule!$E$5:$E$47,MATCH($B44,Schedule!$B$5:$B$47,0))</f>
        <v>6</v>
      </c>
      <c r="E44" s="31">
        <f t="array" ref="E44">INDEX(Schedule!$F$5:$F$47,MATCH($B44,Schedule!$B$5:$B$47,0))</f>
        <v>46371</v>
      </c>
      <c r="F44" s="31">
        <f t="array" ref="F44">INDEX(Schedule!$G$5:$G$47,MATCH($B44,Schedule!$B$5:$B$47,0))</f>
        <v>46378</v>
      </c>
      <c r="G44" s="23">
        <f t="array" ref="G44">INDEX(Schedule!$N$5:$N$47,MATCH($B44,Schedule!$B$5:$B$47,0))</f>
        <v>18</v>
      </c>
    </row>
    <row r="45" spans="2:7" ht="15.75" customHeight="1" x14ac:dyDescent="0.25">
      <c r="B45" s="23" t="s">
        <v>213</v>
      </c>
      <c r="C45" s="24" t="str">
        <f t="array" ref="C45">INDEX(Schedule!$C$5:$C$47,MATCH($B45,Schedule!$B$5:$B$47,0))</f>
        <v>Inventory dashboard development</v>
      </c>
      <c r="D45" s="23">
        <f t="array" ref="D45">INDEX(Schedule!$E$5:$E$47,MATCH($B45,Schedule!$B$5:$B$47,0))</f>
        <v>6</v>
      </c>
      <c r="E45" s="31">
        <f t="array" ref="E45">INDEX(Schedule!$F$5:$F$47,MATCH($B45,Schedule!$B$5:$B$47,0))</f>
        <v>46370</v>
      </c>
      <c r="F45" s="31">
        <f t="array" ref="F45">INDEX(Schedule!$G$5:$G$47,MATCH($B45,Schedule!$B$5:$B$47,0))</f>
        <v>46377</v>
      </c>
      <c r="G45" s="23">
        <f t="array" ref="G45">INDEX(Schedule!$N$5:$N$47,MATCH($B45,Schedule!$B$5:$B$47,0))</f>
        <v>19</v>
      </c>
    </row>
    <row r="46" spans="2:7" ht="15.75" customHeight="1" x14ac:dyDescent="0.25">
      <c r="B46" s="23" t="s">
        <v>216</v>
      </c>
      <c r="C46" s="24" t="str">
        <f t="array" ref="C46">INDEX(Schedule!$C$5:$C$47,MATCH($B46,Schedule!$B$5:$B$47,0))</f>
        <v>Executive analytics report</v>
      </c>
      <c r="D46" s="23">
        <f t="array" ref="D46">INDEX(Schedule!$E$5:$E$47,MATCH($B46,Schedule!$B$5:$B$47,0))</f>
        <v>4</v>
      </c>
      <c r="E46" s="31">
        <f t="array" ref="E46">INDEX(Schedule!$F$5:$F$47,MATCH($B46,Schedule!$B$5:$B$47,0))</f>
        <v>46379</v>
      </c>
      <c r="F46" s="31">
        <f t="array" ref="F46">INDEX(Schedule!$G$5:$G$47,MATCH($B46,Schedule!$B$5:$B$47,0))</f>
        <v>46386</v>
      </c>
      <c r="G46" s="23">
        <f t="array" ref="G46">INDEX(Schedule!$N$5:$N$47,MATCH($B46,Schedule!$B$5:$B$47,0))</f>
        <v>18</v>
      </c>
    </row>
    <row r="47" spans="2:7" ht="15.75" customHeight="1" x14ac:dyDescent="0.25">
      <c r="B47" s="23" t="s">
        <v>227</v>
      </c>
      <c r="C47" s="24" t="str">
        <f t="array" ref="C47">INDEX(Schedule!$C$5:$C$47,MATCH($B47,Schedule!$B$5:$B$47,0))</f>
        <v>Sales forecasting model development</v>
      </c>
      <c r="D47" s="23">
        <f t="array" ref="D47">INDEX(Schedule!$E$5:$E$47,MATCH($B47,Schedule!$B$5:$B$47,0))</f>
        <v>12</v>
      </c>
      <c r="E47" s="31">
        <f t="array" ref="E47">INDEX(Schedule!$F$5:$F$47,MATCH($B47,Schedule!$B$5:$B$47,0))</f>
        <v>46380</v>
      </c>
      <c r="F47" s="31">
        <f t="array" ref="F47">INDEX(Schedule!$G$5:$G$47,MATCH($B47,Schedule!$B$5:$B$47,0))</f>
        <v>46400</v>
      </c>
      <c r="G47" s="23">
        <f t="array" ref="G47">INDEX(Schedule!$N$5:$N$47,MATCH($B47,Schedule!$B$5:$B$47,0))</f>
        <v>4</v>
      </c>
    </row>
    <row r="48" spans="2:7" ht="15.75" customHeight="1" x14ac:dyDescent="0.25">
      <c r="B48" s="23" t="s">
        <v>253</v>
      </c>
      <c r="C48" s="24" t="str">
        <f t="array" ref="C48">INDEX(Schedule!$C$5:$C$47,MATCH($B48,Schedule!$B$5:$B$47,0))</f>
        <v>Prompt library design and testing</v>
      </c>
      <c r="D48" s="23">
        <f t="array" ref="D48">INDEX(Schedule!$E$5:$E$47,MATCH($B48,Schedule!$B$5:$B$47,0))</f>
        <v>8</v>
      </c>
      <c r="E48" s="31">
        <f t="array" ref="E48">INDEX(Schedule!$F$5:$F$47,MATCH($B48,Schedule!$B$5:$B$47,0))</f>
        <v>46359</v>
      </c>
      <c r="F48" s="31">
        <f t="array" ref="F48">INDEX(Schedule!$G$5:$G$47,MATCH($B48,Schedule!$B$5:$B$47,0))</f>
        <v>46370</v>
      </c>
      <c r="G48" s="23">
        <f t="array" ref="G48">INDEX(Schedule!$N$5:$N$47,MATCH($B48,Schedule!$B$5:$B$47,0))</f>
        <v>4</v>
      </c>
    </row>
    <row r="49" spans="2:7" ht="15.75" customHeight="1" x14ac:dyDescent="0.25">
      <c r="B49" s="23" t="s">
        <v>260</v>
      </c>
      <c r="C49" s="24" t="str">
        <f t="array" ref="C49">INDEX(Schedule!$C$5:$C$47,MATCH($B49,Schedule!$B$5:$B$47,0))</f>
        <v>Retail report generator</v>
      </c>
      <c r="D49" s="23">
        <f t="array" ref="D49">INDEX(Schedule!$E$5:$E$47,MATCH($B49,Schedule!$B$5:$B$47,0))</f>
        <v>7</v>
      </c>
      <c r="E49" s="31">
        <f t="array" ref="E49">INDEX(Schedule!$F$5:$F$47,MATCH($B49,Schedule!$B$5:$B$47,0))</f>
        <v>46371</v>
      </c>
      <c r="F49" s="31">
        <f t="array" ref="F49">INDEX(Schedule!$G$5:$G$47,MATCH($B49,Schedule!$B$5:$B$47,0))</f>
        <v>46379</v>
      </c>
      <c r="G49" s="23">
        <f t="array" ref="G49">INDEX(Schedule!$N$5:$N$47,MATCH($B49,Schedule!$B$5:$B$47,0))</f>
        <v>4</v>
      </c>
    </row>
    <row r="50" spans="2:7" ht="15.75" customHeight="1" x14ac:dyDescent="0.25">
      <c r="B50" s="23" t="s">
        <v>276</v>
      </c>
      <c r="C50" s="24" t="str">
        <f t="array" ref="C50">INDEX(Schedule!$C$5:$C$47,MATCH($B50,Schedule!$B$5:$B$47,0))</f>
        <v>AI Retail Copilot development (Streamlit)</v>
      </c>
      <c r="D50" s="23">
        <f t="array" ref="D50">INDEX(Schedule!$E$5:$E$47,MATCH($B50,Schedule!$B$5:$B$47,0))</f>
        <v>12</v>
      </c>
      <c r="E50" s="31">
        <f t="array" ref="E50">INDEX(Schedule!$F$5:$F$47,MATCH($B50,Schedule!$B$5:$B$47,0))</f>
        <v>46380</v>
      </c>
      <c r="F50" s="31">
        <f t="array" ref="F50">INDEX(Schedule!$G$5:$G$47,MATCH($B50,Schedule!$B$5:$B$47,0))</f>
        <v>46400</v>
      </c>
      <c r="G50" s="23">
        <f t="array" ref="G50">INDEX(Schedule!$N$5:$N$47,MATCH($B50,Schedule!$B$5:$B$47,0))</f>
        <v>4</v>
      </c>
    </row>
    <row r="51" spans="2:7" ht="15.75" customHeight="1" x14ac:dyDescent="0.25">
      <c r="B51" s="23" t="s">
        <v>286</v>
      </c>
      <c r="C51" s="24" t="str">
        <f t="array" ref="C51">INDEX(Schedule!$C$5:$C$47,MATCH($B51,Schedule!$B$5:$B$47,0))</f>
        <v>Copilot integration with data and forecasting model</v>
      </c>
      <c r="D51" s="23">
        <f t="array" ref="D51">INDEX(Schedule!$E$5:$E$47,MATCH($B51,Schedule!$B$5:$B$47,0))</f>
        <v>5</v>
      </c>
      <c r="E51" s="31">
        <f t="array" ref="E51">INDEX(Schedule!$F$5:$F$47,MATCH($B51,Schedule!$B$5:$B$47,0))</f>
        <v>46401</v>
      </c>
      <c r="F51" s="31">
        <f t="array" ref="F51">INDEX(Schedule!$G$5:$G$47,MATCH($B51,Schedule!$B$5:$B$47,0))</f>
        <v>46407</v>
      </c>
      <c r="G51" s="23">
        <f t="array" ref="G51">INDEX(Schedule!$N$5:$N$47,MATCH($B51,Schedule!$B$5:$B$47,0))</f>
        <v>4</v>
      </c>
    </row>
    <row r="52" spans="2:7" ht="15.75" customHeight="1" x14ac:dyDescent="0.25">
      <c r="B52" s="23" t="s">
        <v>312</v>
      </c>
      <c r="C52" s="24" t="str">
        <f t="array" ref="C52">INDEX(Schedule!$C$5:$C$47,MATCH($B52,Schedule!$B$5:$B$47,0))</f>
        <v>Dashboard quality review and data accuracy testing</v>
      </c>
      <c r="D52" s="23">
        <f t="array" ref="D52">INDEX(Schedule!$E$5:$E$47,MATCH($B52,Schedule!$B$5:$B$47,0))</f>
        <v>4</v>
      </c>
      <c r="E52" s="31">
        <f t="array" ref="E52">INDEX(Schedule!$F$5:$F$47,MATCH($B52,Schedule!$B$5:$B$47,0))</f>
        <v>46414</v>
      </c>
      <c r="F52" s="31">
        <f t="array" ref="F52">INDEX(Schedule!$G$5:$G$47,MATCH($B52,Schedule!$B$5:$B$47,0))</f>
        <v>46419</v>
      </c>
      <c r="G52" s="23">
        <f t="array" ref="G52">INDEX(Schedule!$N$5:$N$47,MATCH($B52,Schedule!$B$5:$B$47,0))</f>
        <v>2</v>
      </c>
    </row>
    <row r="53" spans="2:7" ht="15.75" customHeight="1" x14ac:dyDescent="0.25">
      <c r="B53" s="23" t="s">
        <v>319</v>
      </c>
      <c r="C53" s="24" t="str">
        <f t="array" ref="C53">INDEX(Schedule!$C$5:$C$47,MATCH($B53,Schedule!$B$5:$B$47,0))</f>
        <v>Code review and model testing</v>
      </c>
      <c r="D53" s="23">
        <f t="array" ref="D53">INDEX(Schedule!$E$5:$E$47,MATCH($B53,Schedule!$B$5:$B$47,0))</f>
        <v>5</v>
      </c>
      <c r="E53" s="31">
        <f t="array" ref="E53">INDEX(Schedule!$F$5:$F$47,MATCH($B53,Schedule!$B$5:$B$47,0))</f>
        <v>46414</v>
      </c>
      <c r="F53" s="31">
        <f t="array" ref="F53">INDEX(Schedule!$G$5:$G$47,MATCH($B53,Schedule!$B$5:$B$47,0))</f>
        <v>46420</v>
      </c>
      <c r="G53" s="23">
        <f t="array" ref="G53">INDEX(Schedule!$N$5:$N$47,MATCH($B53,Schedule!$B$5:$B$47,0))</f>
        <v>1</v>
      </c>
    </row>
    <row r="54" spans="2:7" ht="15.75" customHeight="1" x14ac:dyDescent="0.25">
      <c r="B54" s="23" t="s">
        <v>337</v>
      </c>
      <c r="C54" s="24" t="str">
        <f t="array" ref="C54">INDEX(Schedule!$C$5:$C$47,MATCH($B54,Schedule!$B$5:$B$47,0))</f>
        <v>Project and technical documentation</v>
      </c>
      <c r="D54" s="23">
        <f t="array" ref="D54">INDEX(Schedule!$E$5:$E$47,MATCH($B54,Schedule!$B$5:$B$47,0))</f>
        <v>7</v>
      </c>
      <c r="E54" s="31">
        <f t="array" ref="E54">INDEX(Schedule!$F$5:$F$47,MATCH($B54,Schedule!$B$5:$B$47,0))</f>
        <v>46414</v>
      </c>
      <c r="F54" s="31">
        <f t="array" ref="F54">INDEX(Schedule!$G$5:$G$47,MATCH($B54,Schedule!$B$5:$B$47,0))</f>
        <v>46422</v>
      </c>
      <c r="G54" s="23">
        <f t="array" ref="G54">INDEX(Schedule!$N$5:$N$47,MATCH($B54,Schedule!$B$5:$B$47,0))</f>
        <v>9</v>
      </c>
    </row>
    <row r="55" spans="2:7" ht="15.75" customHeight="1" x14ac:dyDescent="0.25">
      <c r="B55" s="23" t="s">
        <v>341</v>
      </c>
      <c r="C55" s="24" t="str">
        <f t="array" ref="C55">INDEX(Schedule!$C$5:$C$47,MATCH($B55,Schedule!$B$5:$B$47,0))</f>
        <v>User training and handover sessions</v>
      </c>
      <c r="D55" s="23">
        <f t="array" ref="D55">INDEX(Schedule!$E$5:$E$47,MATCH($B55,Schedule!$B$5:$B$47,0))</f>
        <v>3</v>
      </c>
      <c r="E55" s="31">
        <f t="array" ref="E55">INDEX(Schedule!$F$5:$F$47,MATCH($B55,Schedule!$B$5:$B$47,0))</f>
        <v>46436</v>
      </c>
      <c r="F55" s="31">
        <f t="array" ref="F55">INDEX(Schedule!$G$5:$G$47,MATCH($B55,Schedule!$B$5:$B$47,0))</f>
        <v>46440</v>
      </c>
      <c r="G55" s="23">
        <f t="array" ref="G55">INDEX(Schedule!$N$5:$N$47,MATCH($B55,Schedule!$B$5:$B$47,0))</f>
        <v>1</v>
      </c>
    </row>
    <row r="56" spans="2:7" ht="15.75" customHeight="1" x14ac:dyDescent="0.25"/>
    <row r="57" spans="2:7" ht="15.75" customHeight="1" x14ac:dyDescent="0.25"/>
    <row r="58" spans="2:7" ht="15.75" customHeight="1" x14ac:dyDescent="0.25"/>
    <row r="59" spans="2:7" ht="15.75" customHeight="1" x14ac:dyDescent="0.25"/>
    <row r="60" spans="2:7" ht="15.75" customHeight="1" x14ac:dyDescent="0.25"/>
    <row r="61" spans="2:7" ht="15.75" customHeight="1" x14ac:dyDescent="0.25"/>
    <row r="62" spans="2:7" ht="15.75" customHeight="1" x14ac:dyDescent="0.25"/>
    <row r="63" spans="2:7" ht="15.75" customHeight="1" x14ac:dyDescent="0.25"/>
    <row r="64" spans="2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00"/>
  <sheetViews>
    <sheetView workbookViewId="0">
      <selection sqref="A1:A1048576"/>
    </sheetView>
  </sheetViews>
  <sheetFormatPr defaultColWidth="14.42578125" defaultRowHeight="15" customHeight="1" x14ac:dyDescent="0.25"/>
  <cols>
    <col min="1" max="1" width="3.28515625" customWidth="1"/>
    <col min="2" max="2" width="44" customWidth="1"/>
    <col min="3" max="4" width="18" customWidth="1"/>
    <col min="5" max="5" width="24" customWidth="1"/>
    <col min="6" max="6" width="46" customWidth="1"/>
    <col min="7" max="7" width="40" customWidth="1"/>
    <col min="8" max="12" width="10" customWidth="1"/>
    <col min="13" max="27" width="8.7109375" customWidth="1"/>
  </cols>
  <sheetData>
    <row r="1" spans="2:7" ht="18" x14ac:dyDescent="0.25">
      <c r="B1" s="2" t="s">
        <v>76</v>
      </c>
    </row>
    <row r="2" spans="2:7" x14ac:dyDescent="0.25">
      <c r="B2" s="35" t="s">
        <v>77</v>
      </c>
    </row>
    <row r="4" spans="2:7" x14ac:dyDescent="0.25">
      <c r="B4" s="20" t="s">
        <v>78</v>
      </c>
    </row>
    <row r="5" spans="2:7" ht="33.75" customHeight="1" x14ac:dyDescent="0.25">
      <c r="B5" s="5" t="s">
        <v>79</v>
      </c>
      <c r="C5" s="5" t="s">
        <v>80</v>
      </c>
      <c r="D5" s="5" t="s">
        <v>82</v>
      </c>
      <c r="E5" s="5" t="s">
        <v>85</v>
      </c>
      <c r="F5" s="5" t="s">
        <v>86</v>
      </c>
      <c r="G5" s="5" t="s">
        <v>87</v>
      </c>
    </row>
    <row r="6" spans="2:7" ht="25.5" x14ac:dyDescent="0.25">
      <c r="B6" s="10" t="s">
        <v>59</v>
      </c>
      <c r="C6" s="36">
        <f>Budget!E29</f>
        <v>1</v>
      </c>
      <c r="D6" s="36">
        <f>Budget!G29</f>
        <v>83</v>
      </c>
      <c r="E6" s="37">
        <f>MIN(1,D6/Schedule!$E$49)</f>
        <v>1</v>
      </c>
      <c r="F6" s="10" t="s">
        <v>91</v>
      </c>
      <c r="G6" s="10" t="s">
        <v>92</v>
      </c>
    </row>
    <row r="7" spans="2:7" ht="25.5" x14ac:dyDescent="0.25">
      <c r="B7" s="10" t="s">
        <v>93</v>
      </c>
      <c r="C7" s="36">
        <f>Budget!E30</f>
        <v>1</v>
      </c>
      <c r="D7" s="36">
        <f>Budget!G30</f>
        <v>40</v>
      </c>
      <c r="E7" s="37">
        <f>MIN(1,D7/Schedule!$E$49)</f>
        <v>0.48192771084337349</v>
      </c>
      <c r="F7" s="10" t="s">
        <v>94</v>
      </c>
      <c r="G7" s="10" t="s">
        <v>95</v>
      </c>
    </row>
    <row r="8" spans="2:7" ht="25.5" x14ac:dyDescent="0.25">
      <c r="B8" s="10" t="s">
        <v>97</v>
      </c>
      <c r="C8" s="36">
        <f>Budget!E31</f>
        <v>2</v>
      </c>
      <c r="D8" s="36">
        <f>Budget!G31</f>
        <v>45</v>
      </c>
      <c r="E8" s="37">
        <f>MIN(1,D8/Schedule!$E$49)</f>
        <v>0.54216867469879515</v>
      </c>
      <c r="F8" s="10" t="s">
        <v>99</v>
      </c>
      <c r="G8" s="10" t="s">
        <v>100</v>
      </c>
    </row>
    <row r="9" spans="2:7" ht="25.5" x14ac:dyDescent="0.25">
      <c r="B9" s="10" t="s">
        <v>101</v>
      </c>
      <c r="C9" s="36">
        <f>Budget!E32</f>
        <v>1</v>
      </c>
      <c r="D9" s="36">
        <f>Budget!G32</f>
        <v>50</v>
      </c>
      <c r="E9" s="37">
        <f>MIN(1,D9/Schedule!$E$49)</f>
        <v>0.60240963855421692</v>
      </c>
      <c r="F9" s="10" t="s">
        <v>105</v>
      </c>
      <c r="G9" s="10" t="s">
        <v>106</v>
      </c>
    </row>
    <row r="10" spans="2:7" ht="25.5" x14ac:dyDescent="0.25">
      <c r="B10" s="10" t="s">
        <v>107</v>
      </c>
      <c r="C10" s="36">
        <f>Budget!E33</f>
        <v>1</v>
      </c>
      <c r="D10" s="36">
        <f>Budget!G33</f>
        <v>40</v>
      </c>
      <c r="E10" s="37">
        <f>MIN(1,D10/Schedule!$E$49)</f>
        <v>0.48192771084337349</v>
      </c>
      <c r="F10" s="10" t="s">
        <v>108</v>
      </c>
      <c r="G10" s="10" t="s">
        <v>110</v>
      </c>
    </row>
    <row r="11" spans="2:7" ht="25.5" x14ac:dyDescent="0.25">
      <c r="B11" s="10" t="s">
        <v>111</v>
      </c>
      <c r="C11" s="36">
        <f>Budget!E34</f>
        <v>1</v>
      </c>
      <c r="D11" s="36">
        <f>Budget!G34</f>
        <v>45</v>
      </c>
      <c r="E11" s="37">
        <f>MIN(1,D11/Schedule!$E$49)</f>
        <v>0.54216867469879515</v>
      </c>
      <c r="F11" s="10" t="s">
        <v>113</v>
      </c>
      <c r="G11" s="10" t="s">
        <v>114</v>
      </c>
    </row>
    <row r="12" spans="2:7" x14ac:dyDescent="0.25">
      <c r="B12" s="10" t="s">
        <v>117</v>
      </c>
      <c r="C12" s="36">
        <f>Budget!E35</f>
        <v>1</v>
      </c>
      <c r="D12" s="36">
        <f>Budget!G35</f>
        <v>25</v>
      </c>
      <c r="E12" s="37">
        <f>MIN(1,D12/Schedule!$E$49)</f>
        <v>0.30120481927710846</v>
      </c>
      <c r="F12" s="10" t="s">
        <v>118</v>
      </c>
      <c r="G12" s="10" t="s">
        <v>119</v>
      </c>
    </row>
    <row r="15" spans="2:7" x14ac:dyDescent="0.25">
      <c r="B15" s="20" t="s">
        <v>120</v>
      </c>
    </row>
    <row r="16" spans="2:7" ht="24" customHeight="1" x14ac:dyDescent="0.25">
      <c r="B16" s="5" t="s">
        <v>122</v>
      </c>
      <c r="C16" s="5" t="s">
        <v>123</v>
      </c>
      <c r="D16" s="5" t="s">
        <v>124</v>
      </c>
      <c r="E16" s="5" t="s">
        <v>125</v>
      </c>
    </row>
    <row r="17" spans="2:5" ht="38.25" x14ac:dyDescent="0.25">
      <c r="B17" s="42" t="s">
        <v>126</v>
      </c>
      <c r="C17" s="42" t="s">
        <v>127</v>
      </c>
      <c r="D17" s="42" t="s">
        <v>128</v>
      </c>
      <c r="E17" s="42" t="s">
        <v>129</v>
      </c>
    </row>
    <row r="18" spans="2:5" ht="38.25" x14ac:dyDescent="0.25">
      <c r="B18" s="42" t="s">
        <v>130</v>
      </c>
      <c r="C18" s="42" t="s">
        <v>131</v>
      </c>
      <c r="D18" s="42" t="s">
        <v>132</v>
      </c>
      <c r="E18" s="42" t="s">
        <v>133</v>
      </c>
    </row>
    <row r="19" spans="2:5" ht="25.5" x14ac:dyDescent="0.25">
      <c r="B19" s="42" t="s">
        <v>134</v>
      </c>
      <c r="C19" s="42" t="s">
        <v>135</v>
      </c>
      <c r="D19" s="42" t="s">
        <v>132</v>
      </c>
      <c r="E19" s="42" t="s">
        <v>136</v>
      </c>
    </row>
    <row r="20" spans="2:5" ht="25.5" x14ac:dyDescent="0.25">
      <c r="B20" s="42" t="s">
        <v>137</v>
      </c>
      <c r="C20" s="42" t="s">
        <v>138</v>
      </c>
      <c r="D20" s="42" t="s">
        <v>139</v>
      </c>
      <c r="E20" s="42" t="s">
        <v>140</v>
      </c>
    </row>
    <row r="21" spans="2:5" ht="15.75" customHeight="1" x14ac:dyDescent="0.25">
      <c r="B21" s="42" t="s">
        <v>141</v>
      </c>
      <c r="C21" s="42" t="s">
        <v>142</v>
      </c>
      <c r="D21" s="42" t="s">
        <v>143</v>
      </c>
      <c r="E21" s="42" t="s">
        <v>144</v>
      </c>
    </row>
    <row r="22" spans="2:5" ht="15.75" customHeight="1" x14ac:dyDescent="0.25">
      <c r="B22" s="42" t="s">
        <v>146</v>
      </c>
      <c r="C22" s="42" t="s">
        <v>148</v>
      </c>
      <c r="D22" s="42" t="s">
        <v>143</v>
      </c>
      <c r="E22" s="42" t="s">
        <v>149</v>
      </c>
    </row>
    <row r="23" spans="2:5" ht="15.75" customHeight="1" x14ac:dyDescent="0.25">
      <c r="B23" s="42" t="s">
        <v>150</v>
      </c>
      <c r="C23" s="42" t="s">
        <v>151</v>
      </c>
      <c r="D23" s="42" t="s">
        <v>139</v>
      </c>
      <c r="E23" s="42" t="s">
        <v>152</v>
      </c>
    </row>
    <row r="24" spans="2:5" ht="15.75" customHeight="1" x14ac:dyDescent="0.25"/>
    <row r="25" spans="2:5" ht="15.75" customHeight="1" x14ac:dyDescent="0.25"/>
    <row r="26" spans="2:5" ht="15.75" customHeight="1" x14ac:dyDescent="0.25">
      <c r="B26" s="20" t="s">
        <v>153</v>
      </c>
    </row>
    <row r="27" spans="2:5" ht="24" customHeight="1" x14ac:dyDescent="0.25">
      <c r="B27" s="5" t="s">
        <v>154</v>
      </c>
      <c r="C27" s="5" t="s">
        <v>80</v>
      </c>
      <c r="D27" s="5" t="s">
        <v>123</v>
      </c>
      <c r="E27" s="5" t="s">
        <v>155</v>
      </c>
    </row>
    <row r="28" spans="2:5" ht="15.75" customHeight="1" x14ac:dyDescent="0.25">
      <c r="B28" s="42" t="s">
        <v>156</v>
      </c>
      <c r="C28" s="42" t="s">
        <v>157</v>
      </c>
      <c r="D28" s="42" t="s">
        <v>158</v>
      </c>
      <c r="E28" s="42" t="s">
        <v>159</v>
      </c>
    </row>
    <row r="29" spans="2:5" ht="15.75" customHeight="1" x14ac:dyDescent="0.25">
      <c r="B29" s="42" t="s">
        <v>160</v>
      </c>
      <c r="C29" s="42" t="s">
        <v>161</v>
      </c>
      <c r="D29" s="42" t="s">
        <v>162</v>
      </c>
      <c r="E29" s="42" t="s">
        <v>75</v>
      </c>
    </row>
    <row r="30" spans="2:5" ht="15.75" customHeight="1" x14ac:dyDescent="0.25">
      <c r="B30" s="42" t="s">
        <v>163</v>
      </c>
      <c r="C30" s="42" t="s">
        <v>164</v>
      </c>
      <c r="D30" s="42" t="s">
        <v>165</v>
      </c>
      <c r="E30" s="42" t="s">
        <v>166</v>
      </c>
    </row>
    <row r="31" spans="2:5" ht="15.75" customHeight="1" x14ac:dyDescent="0.25"/>
    <row r="32" spans="2:5" ht="15.75" customHeight="1" x14ac:dyDescent="0.25"/>
    <row r="33" spans="2:12" ht="15.75" customHeight="1" x14ac:dyDescent="0.25">
      <c r="B33" s="20" t="s">
        <v>168</v>
      </c>
    </row>
    <row r="34" spans="2:12" ht="24" customHeight="1" x14ac:dyDescent="0.25">
      <c r="B34" s="5" t="s">
        <v>169</v>
      </c>
      <c r="C34" s="5" t="s">
        <v>123</v>
      </c>
      <c r="D34" s="5" t="s">
        <v>171</v>
      </c>
    </row>
    <row r="35" spans="2:12" ht="15.75" customHeight="1" x14ac:dyDescent="0.25">
      <c r="B35" s="42" t="s">
        <v>173</v>
      </c>
      <c r="C35" s="42" t="s">
        <v>174</v>
      </c>
      <c r="D35" s="42" t="s">
        <v>175</v>
      </c>
    </row>
    <row r="36" spans="2:12" ht="15.75" customHeight="1" x14ac:dyDescent="0.25">
      <c r="B36" s="42" t="s">
        <v>176</v>
      </c>
      <c r="C36" s="42" t="s">
        <v>177</v>
      </c>
      <c r="D36" s="42" t="s">
        <v>178</v>
      </c>
    </row>
    <row r="37" spans="2:12" ht="15.75" customHeight="1" x14ac:dyDescent="0.25">
      <c r="B37" s="42" t="s">
        <v>179</v>
      </c>
      <c r="C37" s="42" t="s">
        <v>180</v>
      </c>
      <c r="D37" s="42" t="s">
        <v>181</v>
      </c>
    </row>
    <row r="38" spans="2:12" ht="15.75" customHeight="1" x14ac:dyDescent="0.25"/>
    <row r="39" spans="2:12" ht="15.75" customHeight="1" x14ac:dyDescent="0.25"/>
    <row r="40" spans="2:12" ht="15.75" customHeight="1" x14ac:dyDescent="0.25">
      <c r="B40" s="20" t="s">
        <v>182</v>
      </c>
    </row>
    <row r="41" spans="2:12" ht="24" customHeight="1" x14ac:dyDescent="0.25">
      <c r="B41" s="5" t="s">
        <v>183</v>
      </c>
      <c r="C41" s="5" t="s">
        <v>184</v>
      </c>
      <c r="D41" s="5" t="s">
        <v>185</v>
      </c>
      <c r="E41" s="5" t="s">
        <v>186</v>
      </c>
      <c r="F41" s="5" t="s">
        <v>187</v>
      </c>
      <c r="G41" s="5" t="s">
        <v>188</v>
      </c>
      <c r="H41" s="5" t="s">
        <v>189</v>
      </c>
      <c r="I41" s="5" t="s">
        <v>190</v>
      </c>
      <c r="J41" s="5" t="s">
        <v>191</v>
      </c>
      <c r="K41" s="5" t="s">
        <v>192</v>
      </c>
    </row>
    <row r="42" spans="2:12" ht="15.75" customHeight="1" x14ac:dyDescent="0.25">
      <c r="B42" s="24" t="s">
        <v>193</v>
      </c>
      <c r="C42" s="38" t="s">
        <v>194</v>
      </c>
      <c r="D42" s="23" t="s">
        <v>195</v>
      </c>
      <c r="E42" s="23" t="s">
        <v>196</v>
      </c>
      <c r="F42" s="23" t="s">
        <v>197</v>
      </c>
      <c r="G42" s="23" t="s">
        <v>197</v>
      </c>
      <c r="H42" s="23" t="s">
        <v>197</v>
      </c>
      <c r="I42" s="23" t="s">
        <v>197</v>
      </c>
      <c r="J42" s="23" t="s">
        <v>197</v>
      </c>
      <c r="K42" s="23" t="s">
        <v>196</v>
      </c>
      <c r="L42" s="23"/>
    </row>
    <row r="43" spans="2:12" ht="15.75" customHeight="1" x14ac:dyDescent="0.25">
      <c r="B43" s="24" t="s">
        <v>198</v>
      </c>
      <c r="C43" s="23" t="s">
        <v>197</v>
      </c>
      <c r="D43" s="38" t="s">
        <v>194</v>
      </c>
      <c r="E43" s="23" t="s">
        <v>196</v>
      </c>
      <c r="F43" s="23" t="s">
        <v>195</v>
      </c>
      <c r="G43" s="23" t="s">
        <v>195</v>
      </c>
      <c r="H43" s="23" t="s">
        <v>197</v>
      </c>
      <c r="I43" s="23" t="s">
        <v>197</v>
      </c>
      <c r="J43" s="23" t="s">
        <v>196</v>
      </c>
      <c r="K43" s="23" t="s">
        <v>197</v>
      </c>
      <c r="L43" s="23"/>
    </row>
    <row r="44" spans="2:12" ht="15.75" customHeight="1" x14ac:dyDescent="0.25">
      <c r="B44" s="24" t="s">
        <v>199</v>
      </c>
      <c r="C44" s="23" t="s">
        <v>196</v>
      </c>
      <c r="D44" s="38" t="s">
        <v>194</v>
      </c>
      <c r="E44" s="23" t="s">
        <v>195</v>
      </c>
      <c r="F44" s="23" t="s">
        <v>196</v>
      </c>
      <c r="G44" s="23" t="s">
        <v>196</v>
      </c>
      <c r="H44" s="23" t="s">
        <v>196</v>
      </c>
      <c r="I44" s="23" t="s">
        <v>196</v>
      </c>
      <c r="J44" s="23" t="s">
        <v>197</v>
      </c>
      <c r="K44" s="23" t="s">
        <v>196</v>
      </c>
      <c r="L44" s="23"/>
    </row>
    <row r="45" spans="2:12" ht="15.75" customHeight="1" x14ac:dyDescent="0.25">
      <c r="B45" s="24" t="s">
        <v>200</v>
      </c>
      <c r="C45" s="23" t="s">
        <v>197</v>
      </c>
      <c r="D45" s="38" t="s">
        <v>194</v>
      </c>
      <c r="E45" s="23" t="s">
        <v>196</v>
      </c>
      <c r="F45" s="23" t="s">
        <v>195</v>
      </c>
      <c r="G45" s="23" t="s">
        <v>196</v>
      </c>
      <c r="H45" s="23" t="s">
        <v>197</v>
      </c>
      <c r="I45" s="23" t="s">
        <v>197</v>
      </c>
      <c r="J45" s="23" t="s">
        <v>196</v>
      </c>
      <c r="K45" s="23" t="s">
        <v>196</v>
      </c>
      <c r="L45" s="23"/>
    </row>
    <row r="46" spans="2:12" ht="15.75" customHeight="1" x14ac:dyDescent="0.25">
      <c r="B46" s="24" t="s">
        <v>203</v>
      </c>
      <c r="C46" s="23" t="s">
        <v>197</v>
      </c>
      <c r="D46" s="38" t="s">
        <v>194</v>
      </c>
      <c r="E46" s="23" t="s">
        <v>196</v>
      </c>
      <c r="F46" s="23" t="s">
        <v>196</v>
      </c>
      <c r="G46" s="23" t="s">
        <v>195</v>
      </c>
      <c r="H46" s="23" t="s">
        <v>196</v>
      </c>
      <c r="I46" s="23" t="s">
        <v>197</v>
      </c>
      <c r="J46" s="23" t="s">
        <v>197</v>
      </c>
      <c r="K46" s="23" t="s">
        <v>197</v>
      </c>
      <c r="L46" s="23"/>
    </row>
    <row r="47" spans="2:12" ht="15.75" customHeight="1" x14ac:dyDescent="0.25">
      <c r="B47" s="24" t="s">
        <v>204</v>
      </c>
      <c r="C47" s="23" t="s">
        <v>197</v>
      </c>
      <c r="D47" s="38" t="s">
        <v>194</v>
      </c>
      <c r="E47" s="23" t="s">
        <v>196</v>
      </c>
      <c r="F47" s="23" t="s">
        <v>197</v>
      </c>
      <c r="G47" s="23" t="s">
        <v>195</v>
      </c>
      <c r="H47" s="23" t="s">
        <v>195</v>
      </c>
      <c r="I47" s="23" t="s">
        <v>197</v>
      </c>
      <c r="J47" s="23" t="s">
        <v>196</v>
      </c>
      <c r="K47" s="23" t="s">
        <v>197</v>
      </c>
      <c r="L47" s="23"/>
    </row>
    <row r="48" spans="2:12" ht="15.75" customHeight="1" x14ac:dyDescent="0.25">
      <c r="B48" s="24" t="s">
        <v>205</v>
      </c>
      <c r="C48" s="23" t="s">
        <v>197</v>
      </c>
      <c r="D48" s="38" t="s">
        <v>194</v>
      </c>
      <c r="E48" s="23" t="s">
        <v>196</v>
      </c>
      <c r="F48" s="23" t="s">
        <v>197</v>
      </c>
      <c r="G48" s="23" t="s">
        <v>197</v>
      </c>
      <c r="H48" s="23" t="s">
        <v>196</v>
      </c>
      <c r="I48" s="23" t="s">
        <v>195</v>
      </c>
      <c r="J48" s="23" t="s">
        <v>196</v>
      </c>
      <c r="K48" s="23" t="s">
        <v>196</v>
      </c>
      <c r="L48" s="23"/>
    </row>
    <row r="49" spans="2:12" ht="15.75" customHeight="1" x14ac:dyDescent="0.25">
      <c r="B49" s="24" t="s">
        <v>206</v>
      </c>
      <c r="C49" s="23" t="s">
        <v>197</v>
      </c>
      <c r="D49" s="38" t="s">
        <v>194</v>
      </c>
      <c r="E49" s="23" t="s">
        <v>196</v>
      </c>
      <c r="F49" s="23" t="s">
        <v>196</v>
      </c>
      <c r="G49" s="23" t="s">
        <v>196</v>
      </c>
      <c r="H49" s="23" t="s">
        <v>196</v>
      </c>
      <c r="I49" s="23" t="s">
        <v>196</v>
      </c>
      <c r="J49" s="23" t="s">
        <v>195</v>
      </c>
      <c r="K49" s="23" t="s">
        <v>197</v>
      </c>
      <c r="L49" s="23"/>
    </row>
    <row r="50" spans="2:12" ht="15.75" customHeight="1" x14ac:dyDescent="0.25">
      <c r="B50" s="24" t="s">
        <v>207</v>
      </c>
      <c r="C50" s="38" t="s">
        <v>194</v>
      </c>
      <c r="D50" s="23" t="s">
        <v>195</v>
      </c>
      <c r="E50" s="23" t="s">
        <v>195</v>
      </c>
      <c r="F50" s="23" t="s">
        <v>196</v>
      </c>
      <c r="G50" s="23" t="s">
        <v>197</v>
      </c>
      <c r="H50" s="23" t="s">
        <v>197</v>
      </c>
      <c r="I50" s="23" t="s">
        <v>197</v>
      </c>
      <c r="J50" s="23" t="s">
        <v>196</v>
      </c>
      <c r="K50" s="23" t="s">
        <v>196</v>
      </c>
      <c r="L50" s="23"/>
    </row>
    <row r="51" spans="2:12" ht="15.75" customHeight="1" x14ac:dyDescent="0.25">
      <c r="B51" s="24" t="s">
        <v>208</v>
      </c>
      <c r="C51" s="38" t="s">
        <v>194</v>
      </c>
      <c r="D51" s="23" t="s">
        <v>195</v>
      </c>
      <c r="E51" s="23" t="s">
        <v>196</v>
      </c>
      <c r="F51" s="23" t="s">
        <v>196</v>
      </c>
      <c r="G51" s="23" t="s">
        <v>197</v>
      </c>
      <c r="H51" s="23" t="s">
        <v>197</v>
      </c>
      <c r="I51" s="23" t="s">
        <v>197</v>
      </c>
      <c r="J51" s="23" t="s">
        <v>197</v>
      </c>
      <c r="K51" s="23" t="s">
        <v>196</v>
      </c>
      <c r="L51" s="23"/>
    </row>
    <row r="52" spans="2:12" ht="15.75" customHeight="1" x14ac:dyDescent="0.25"/>
    <row r="53" spans="2:12" ht="15.75" customHeight="1" x14ac:dyDescent="0.25">
      <c r="B53" s="46"/>
    </row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/>
    <row r="58" spans="2:12" ht="15.75" customHeight="1" x14ac:dyDescent="0.25"/>
    <row r="59" spans="2:12" ht="15.75" customHeight="1" x14ac:dyDescent="0.25"/>
    <row r="60" spans="2:12" ht="15.75" customHeight="1" x14ac:dyDescent="0.25"/>
    <row r="61" spans="2:12" ht="15.75" customHeight="1" x14ac:dyDescent="0.25"/>
    <row r="62" spans="2:12" ht="15.75" customHeight="1" x14ac:dyDescent="0.25"/>
    <row r="63" spans="2:12" ht="15.75" customHeight="1" x14ac:dyDescent="0.25"/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tabSelected="1" workbookViewId="0">
      <selection activeCell="B7" sqref="B7"/>
    </sheetView>
  </sheetViews>
  <sheetFormatPr defaultColWidth="14.42578125" defaultRowHeight="15" customHeight="1" x14ac:dyDescent="0.25"/>
  <cols>
    <col min="1" max="1" width="3.28515625" customWidth="1"/>
    <col min="2" max="2" width="34" customWidth="1"/>
    <col min="3" max="3" width="50" customWidth="1"/>
    <col min="4" max="4" width="40" customWidth="1"/>
    <col min="5" max="6" width="16" customWidth="1"/>
    <col min="7" max="7" width="18" customWidth="1"/>
    <col min="8" max="8" width="16" customWidth="1"/>
    <col min="9" max="27" width="8.7109375" customWidth="1"/>
  </cols>
  <sheetData>
    <row r="1" spans="2:6" ht="18" x14ac:dyDescent="0.25">
      <c r="B1" s="2" t="s">
        <v>230</v>
      </c>
    </row>
    <row r="2" spans="2:6" x14ac:dyDescent="0.25">
      <c r="B2" s="47" t="s">
        <v>231</v>
      </c>
    </row>
    <row r="4" spans="2:6" x14ac:dyDescent="0.25">
      <c r="B4" s="20" t="s">
        <v>232</v>
      </c>
    </row>
    <row r="5" spans="2:6" ht="24" customHeight="1" x14ac:dyDescent="0.25">
      <c r="B5" s="5" t="s">
        <v>233</v>
      </c>
      <c r="C5" s="5" t="s">
        <v>234</v>
      </c>
      <c r="D5" s="5" t="s">
        <v>235</v>
      </c>
      <c r="E5" s="4" t="s">
        <v>236</v>
      </c>
    </row>
    <row r="6" spans="2:6" x14ac:dyDescent="0.25">
      <c r="B6" s="48" t="s">
        <v>237</v>
      </c>
      <c r="C6" s="49">
        <f t="shared" ref="C6:C11" si="0">SUMIF($B$29:$B$51,B6,$H$29:$H$51)</f>
        <v>49100000</v>
      </c>
      <c r="D6" s="50">
        <f t="shared" ref="D6:D14" si="1">C6/$C$14</f>
        <v>0.69088293431912429</v>
      </c>
      <c r="E6" s="7" t="s">
        <v>241</v>
      </c>
      <c r="F6" s="51">
        <v>0.12</v>
      </c>
    </row>
    <row r="7" spans="2:6" x14ac:dyDescent="0.25">
      <c r="B7" s="48" t="s">
        <v>243</v>
      </c>
      <c r="C7" s="49">
        <f t="shared" si="0"/>
        <v>1504000</v>
      </c>
      <c r="D7" s="50">
        <f t="shared" si="1"/>
        <v>2.116268703087501E-2</v>
      </c>
    </row>
    <row r="8" spans="2:6" x14ac:dyDescent="0.25">
      <c r="B8" s="48" t="s">
        <v>246</v>
      </c>
      <c r="C8" s="49">
        <f t="shared" si="0"/>
        <v>4330000</v>
      </c>
      <c r="D8" s="50">
        <f t="shared" si="1"/>
        <v>6.092715082692074E-2</v>
      </c>
    </row>
    <row r="9" spans="2:6" x14ac:dyDescent="0.25">
      <c r="B9" s="48" t="s">
        <v>247</v>
      </c>
      <c r="C9" s="49">
        <f t="shared" si="0"/>
        <v>3120000</v>
      </c>
      <c r="D9" s="50">
        <f t="shared" si="1"/>
        <v>4.3901318840644965E-2</v>
      </c>
    </row>
    <row r="10" spans="2:6" x14ac:dyDescent="0.25">
      <c r="B10" s="48" t="s">
        <v>248</v>
      </c>
      <c r="C10" s="49">
        <f t="shared" si="0"/>
        <v>3300000</v>
      </c>
      <c r="D10" s="50">
        <f t="shared" si="1"/>
        <v>4.6434087235297558E-2</v>
      </c>
    </row>
    <row r="11" spans="2:6" x14ac:dyDescent="0.25">
      <c r="B11" s="48" t="s">
        <v>251</v>
      </c>
      <c r="C11" s="49">
        <f t="shared" si="0"/>
        <v>2100000</v>
      </c>
      <c r="D11" s="50">
        <f t="shared" si="1"/>
        <v>2.9548964604280265E-2</v>
      </c>
    </row>
    <row r="12" spans="2:6" x14ac:dyDescent="0.25">
      <c r="B12" s="52" t="s">
        <v>252</v>
      </c>
      <c r="C12" s="53">
        <f>SUM(C6:C11)</f>
        <v>63454000</v>
      </c>
      <c r="D12" s="54">
        <f t="shared" si="1"/>
        <v>0.8928571428571429</v>
      </c>
    </row>
    <row r="13" spans="2:6" x14ac:dyDescent="0.25">
      <c r="B13" s="52" t="s">
        <v>256</v>
      </c>
      <c r="C13" s="53">
        <f>ROUND(C12*$F$6,0)</f>
        <v>7614480</v>
      </c>
      <c r="D13" s="54">
        <f t="shared" si="1"/>
        <v>0.10714285714285714</v>
      </c>
    </row>
    <row r="14" spans="2:6" x14ac:dyDescent="0.25">
      <c r="B14" s="52" t="s">
        <v>257</v>
      </c>
      <c r="C14" s="53">
        <f>C12+C13</f>
        <v>71068480</v>
      </c>
      <c r="D14" s="54">
        <f t="shared" si="1"/>
        <v>1</v>
      </c>
    </row>
    <row r="16" spans="2:6" x14ac:dyDescent="0.25">
      <c r="B16" s="20" t="s">
        <v>258</v>
      </c>
    </row>
    <row r="17" spans="2:8" ht="21.75" customHeight="1" x14ac:dyDescent="0.25">
      <c r="B17" s="5" t="s">
        <v>259</v>
      </c>
      <c r="C17" s="5" t="s">
        <v>262</v>
      </c>
      <c r="D17" s="5" t="s">
        <v>234</v>
      </c>
    </row>
    <row r="18" spans="2:8" x14ac:dyDescent="0.25">
      <c r="B18" s="48" t="s">
        <v>263</v>
      </c>
      <c r="C18" s="55">
        <v>0.35</v>
      </c>
      <c r="D18" s="49">
        <f t="shared" ref="D18:D21" si="2">ROUND($C$13*C18,0)</f>
        <v>2665068</v>
      </c>
    </row>
    <row r="19" spans="2:8" x14ac:dyDescent="0.25">
      <c r="B19" s="48" t="s">
        <v>264</v>
      </c>
      <c r="C19" s="55">
        <v>0.25</v>
      </c>
      <c r="D19" s="49">
        <f t="shared" si="2"/>
        <v>1903620</v>
      </c>
    </row>
    <row r="20" spans="2:8" x14ac:dyDescent="0.25">
      <c r="B20" s="48" t="s">
        <v>265</v>
      </c>
      <c r="C20" s="55">
        <v>0.25</v>
      </c>
      <c r="D20" s="49">
        <f t="shared" si="2"/>
        <v>1903620</v>
      </c>
    </row>
    <row r="21" spans="2:8" ht="15.75" customHeight="1" x14ac:dyDescent="0.25">
      <c r="B21" s="48" t="s">
        <v>266</v>
      </c>
      <c r="C21" s="55">
        <v>0.15</v>
      </c>
      <c r="D21" s="49">
        <f t="shared" si="2"/>
        <v>1142172</v>
      </c>
    </row>
    <row r="22" spans="2:8" ht="15.75" customHeight="1" x14ac:dyDescent="0.25">
      <c r="B22" s="52" t="s">
        <v>267</v>
      </c>
      <c r="C22" s="56">
        <f t="shared" ref="C22:D22" si="3">SUM(C18:C21)</f>
        <v>1</v>
      </c>
      <c r="D22" s="53">
        <f t="shared" si="3"/>
        <v>7614480</v>
      </c>
    </row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>
      <c r="B27" s="20" t="s">
        <v>269</v>
      </c>
    </row>
    <row r="28" spans="2:8" ht="33.75" customHeight="1" x14ac:dyDescent="0.25">
      <c r="B28" s="5" t="s">
        <v>233</v>
      </c>
      <c r="C28" s="5" t="s">
        <v>154</v>
      </c>
      <c r="D28" s="5" t="s">
        <v>270</v>
      </c>
      <c r="E28" s="5" t="s">
        <v>80</v>
      </c>
      <c r="F28" s="5" t="s">
        <v>271</v>
      </c>
      <c r="G28" s="5" t="s">
        <v>272</v>
      </c>
      <c r="H28" s="5" t="s">
        <v>273</v>
      </c>
    </row>
    <row r="29" spans="2:8" ht="15.75" customHeight="1" x14ac:dyDescent="0.25">
      <c r="B29" s="57" t="s">
        <v>237</v>
      </c>
      <c r="C29" s="42" t="s">
        <v>59</v>
      </c>
      <c r="D29" s="42" t="s">
        <v>274</v>
      </c>
      <c r="E29" s="13">
        <v>1</v>
      </c>
      <c r="F29" s="58">
        <v>150000</v>
      </c>
      <c r="G29" s="13">
        <v>83</v>
      </c>
      <c r="H29" s="59">
        <f t="shared" ref="H29:H51" si="4">E29*F29*G29</f>
        <v>12450000</v>
      </c>
    </row>
    <row r="30" spans="2:8" ht="15.75" customHeight="1" x14ac:dyDescent="0.25">
      <c r="B30" s="57" t="s">
        <v>237</v>
      </c>
      <c r="C30" s="42" t="s">
        <v>93</v>
      </c>
      <c r="D30" s="42" t="s">
        <v>275</v>
      </c>
      <c r="E30" s="13">
        <v>1</v>
      </c>
      <c r="F30" s="58">
        <v>120000</v>
      </c>
      <c r="G30" s="13">
        <v>40</v>
      </c>
      <c r="H30" s="59">
        <f t="shared" si="4"/>
        <v>4800000</v>
      </c>
    </row>
    <row r="31" spans="2:8" ht="15.75" customHeight="1" x14ac:dyDescent="0.25">
      <c r="B31" s="57" t="s">
        <v>237</v>
      </c>
      <c r="C31" s="42" t="s">
        <v>97</v>
      </c>
      <c r="D31" s="42" t="s">
        <v>277</v>
      </c>
      <c r="E31" s="13">
        <v>2</v>
      </c>
      <c r="F31" s="58">
        <v>100000</v>
      </c>
      <c r="G31" s="13">
        <v>45</v>
      </c>
      <c r="H31" s="59">
        <f t="shared" si="4"/>
        <v>9000000</v>
      </c>
    </row>
    <row r="32" spans="2:8" ht="15.75" customHeight="1" x14ac:dyDescent="0.25">
      <c r="B32" s="57" t="s">
        <v>237</v>
      </c>
      <c r="C32" s="42" t="s">
        <v>101</v>
      </c>
      <c r="D32" s="42" t="s">
        <v>279</v>
      </c>
      <c r="E32" s="13">
        <v>1</v>
      </c>
      <c r="F32" s="58">
        <v>140000</v>
      </c>
      <c r="G32" s="13">
        <v>50</v>
      </c>
      <c r="H32" s="59">
        <f t="shared" si="4"/>
        <v>7000000</v>
      </c>
    </row>
    <row r="33" spans="2:8" ht="15.75" customHeight="1" x14ac:dyDescent="0.25">
      <c r="B33" s="57" t="s">
        <v>237</v>
      </c>
      <c r="C33" s="42" t="s">
        <v>107</v>
      </c>
      <c r="D33" s="42" t="s">
        <v>280</v>
      </c>
      <c r="E33" s="13">
        <v>1</v>
      </c>
      <c r="F33" s="58">
        <v>160000</v>
      </c>
      <c r="G33" s="13">
        <v>40</v>
      </c>
      <c r="H33" s="59">
        <f t="shared" si="4"/>
        <v>6400000</v>
      </c>
    </row>
    <row r="34" spans="2:8" ht="15.75" customHeight="1" x14ac:dyDescent="0.25">
      <c r="B34" s="57" t="s">
        <v>237</v>
      </c>
      <c r="C34" s="42" t="s">
        <v>111</v>
      </c>
      <c r="D34" s="42" t="s">
        <v>282</v>
      </c>
      <c r="E34" s="13">
        <v>1</v>
      </c>
      <c r="F34" s="58">
        <v>160000</v>
      </c>
      <c r="G34" s="13">
        <v>45</v>
      </c>
      <c r="H34" s="59">
        <f t="shared" si="4"/>
        <v>7200000</v>
      </c>
    </row>
    <row r="35" spans="2:8" ht="15.75" customHeight="1" x14ac:dyDescent="0.25">
      <c r="B35" s="57" t="s">
        <v>237</v>
      </c>
      <c r="C35" s="42" t="s">
        <v>117</v>
      </c>
      <c r="D35" s="42" t="s">
        <v>283</v>
      </c>
      <c r="E35" s="13">
        <v>1</v>
      </c>
      <c r="F35" s="58">
        <v>90000</v>
      </c>
      <c r="G35" s="13">
        <v>25</v>
      </c>
      <c r="H35" s="59">
        <f t="shared" si="4"/>
        <v>2250000</v>
      </c>
    </row>
    <row r="36" spans="2:8" ht="15.75" customHeight="1" x14ac:dyDescent="0.25">
      <c r="B36" s="57" t="s">
        <v>243</v>
      </c>
      <c r="C36" s="42" t="s">
        <v>284</v>
      </c>
      <c r="D36" s="42" t="s">
        <v>285</v>
      </c>
      <c r="E36" s="13">
        <v>12</v>
      </c>
      <c r="F36" s="58">
        <v>22000</v>
      </c>
      <c r="G36" s="13">
        <v>4</v>
      </c>
      <c r="H36" s="59">
        <f t="shared" si="4"/>
        <v>1056000</v>
      </c>
    </row>
    <row r="37" spans="2:8" ht="15.75" customHeight="1" x14ac:dyDescent="0.25">
      <c r="B37" s="57" t="s">
        <v>243</v>
      </c>
      <c r="C37" s="42" t="s">
        <v>288</v>
      </c>
      <c r="D37" s="42" t="s">
        <v>289</v>
      </c>
      <c r="E37" s="13">
        <v>8</v>
      </c>
      <c r="F37" s="58">
        <v>6000</v>
      </c>
      <c r="G37" s="13">
        <v>4</v>
      </c>
      <c r="H37" s="59">
        <f t="shared" si="4"/>
        <v>192000</v>
      </c>
    </row>
    <row r="38" spans="2:8" ht="15.75" customHeight="1" x14ac:dyDescent="0.25">
      <c r="B38" s="57" t="s">
        <v>243</v>
      </c>
      <c r="C38" s="42" t="s">
        <v>290</v>
      </c>
      <c r="D38" s="42" t="s">
        <v>289</v>
      </c>
      <c r="E38" s="13">
        <v>8</v>
      </c>
      <c r="F38" s="58">
        <v>8000</v>
      </c>
      <c r="G38" s="13">
        <v>4</v>
      </c>
      <c r="H38" s="59">
        <f t="shared" si="4"/>
        <v>256000</v>
      </c>
    </row>
    <row r="39" spans="2:8" ht="15.75" customHeight="1" x14ac:dyDescent="0.25">
      <c r="B39" s="57" t="s">
        <v>243</v>
      </c>
      <c r="C39" s="42" t="s">
        <v>291</v>
      </c>
      <c r="D39" s="42" t="s">
        <v>292</v>
      </c>
      <c r="E39" s="13">
        <v>1</v>
      </c>
      <c r="F39" s="58">
        <v>0</v>
      </c>
      <c r="G39" s="13">
        <v>1</v>
      </c>
      <c r="H39" s="59">
        <f t="shared" si="4"/>
        <v>0</v>
      </c>
    </row>
    <row r="40" spans="2:8" ht="15.75" customHeight="1" x14ac:dyDescent="0.25">
      <c r="B40" s="57" t="s">
        <v>246</v>
      </c>
      <c r="C40" s="42" t="s">
        <v>295</v>
      </c>
      <c r="D40" s="42" t="s">
        <v>296</v>
      </c>
      <c r="E40" s="13">
        <v>2</v>
      </c>
      <c r="F40" s="58">
        <v>1800000</v>
      </c>
      <c r="G40" s="13">
        <v>1</v>
      </c>
      <c r="H40" s="59">
        <f t="shared" si="4"/>
        <v>3600000</v>
      </c>
    </row>
    <row r="41" spans="2:8" ht="15.75" customHeight="1" x14ac:dyDescent="0.25">
      <c r="B41" s="57" t="s">
        <v>246</v>
      </c>
      <c r="C41" s="42" t="s">
        <v>160</v>
      </c>
      <c r="D41" s="42" t="s">
        <v>296</v>
      </c>
      <c r="E41" s="13">
        <v>8</v>
      </c>
      <c r="F41" s="58">
        <v>60000</v>
      </c>
      <c r="G41" s="13">
        <v>1</v>
      </c>
      <c r="H41" s="59">
        <f t="shared" si="4"/>
        <v>480000</v>
      </c>
    </row>
    <row r="42" spans="2:8" ht="15.75" customHeight="1" x14ac:dyDescent="0.25">
      <c r="B42" s="57" t="s">
        <v>246</v>
      </c>
      <c r="C42" s="42" t="s">
        <v>163</v>
      </c>
      <c r="D42" s="42" t="s">
        <v>296</v>
      </c>
      <c r="E42" s="13">
        <v>1</v>
      </c>
      <c r="F42" s="58">
        <v>250000</v>
      </c>
      <c r="G42" s="13">
        <v>1</v>
      </c>
      <c r="H42" s="59">
        <f t="shared" si="4"/>
        <v>250000</v>
      </c>
    </row>
    <row r="43" spans="2:8" ht="15.75" customHeight="1" x14ac:dyDescent="0.25">
      <c r="B43" s="57" t="s">
        <v>247</v>
      </c>
      <c r="C43" s="42" t="s">
        <v>298</v>
      </c>
      <c r="D43" s="42" t="s">
        <v>299</v>
      </c>
      <c r="E43" s="13">
        <v>1</v>
      </c>
      <c r="F43" s="58">
        <v>450000</v>
      </c>
      <c r="G43" s="13">
        <v>4</v>
      </c>
      <c r="H43" s="59">
        <f t="shared" si="4"/>
        <v>1800000</v>
      </c>
    </row>
    <row r="44" spans="2:8" ht="15.75" customHeight="1" x14ac:dyDescent="0.25">
      <c r="B44" s="57" t="s">
        <v>247</v>
      </c>
      <c r="C44" s="42" t="s">
        <v>300</v>
      </c>
      <c r="D44" s="42" t="s">
        <v>299</v>
      </c>
      <c r="E44" s="13">
        <v>1</v>
      </c>
      <c r="F44" s="58">
        <v>250000</v>
      </c>
      <c r="G44" s="13">
        <v>4</v>
      </c>
      <c r="H44" s="59">
        <f t="shared" si="4"/>
        <v>1000000</v>
      </c>
    </row>
    <row r="45" spans="2:8" ht="15.75" customHeight="1" x14ac:dyDescent="0.25">
      <c r="B45" s="57" t="s">
        <v>247</v>
      </c>
      <c r="C45" s="42" t="s">
        <v>303</v>
      </c>
      <c r="D45" s="42" t="s">
        <v>299</v>
      </c>
      <c r="E45" s="13">
        <v>1</v>
      </c>
      <c r="F45" s="58">
        <v>80000</v>
      </c>
      <c r="G45" s="13">
        <v>4</v>
      </c>
      <c r="H45" s="59">
        <f t="shared" si="4"/>
        <v>320000</v>
      </c>
    </row>
    <row r="46" spans="2:8" ht="15.75" customHeight="1" x14ac:dyDescent="0.25">
      <c r="B46" s="57" t="s">
        <v>248</v>
      </c>
      <c r="C46" s="42" t="s">
        <v>305</v>
      </c>
      <c r="D46" s="42" t="s">
        <v>306</v>
      </c>
      <c r="E46" s="13">
        <v>1</v>
      </c>
      <c r="F46" s="58">
        <v>1500000</v>
      </c>
      <c r="G46" s="13">
        <v>1</v>
      </c>
      <c r="H46" s="59">
        <f t="shared" si="4"/>
        <v>1500000</v>
      </c>
    </row>
    <row r="47" spans="2:8" ht="15.75" customHeight="1" x14ac:dyDescent="0.25">
      <c r="B47" s="57" t="s">
        <v>248</v>
      </c>
      <c r="C47" s="42" t="s">
        <v>307</v>
      </c>
      <c r="D47" s="42" t="s">
        <v>306</v>
      </c>
      <c r="E47" s="13">
        <v>1</v>
      </c>
      <c r="F47" s="58">
        <v>1200000</v>
      </c>
      <c r="G47" s="13">
        <v>1</v>
      </c>
      <c r="H47" s="59">
        <f t="shared" si="4"/>
        <v>1200000</v>
      </c>
    </row>
    <row r="48" spans="2:8" ht="15.75" customHeight="1" x14ac:dyDescent="0.25">
      <c r="B48" s="57" t="s">
        <v>248</v>
      </c>
      <c r="C48" s="42" t="s">
        <v>308</v>
      </c>
      <c r="D48" s="42" t="s">
        <v>306</v>
      </c>
      <c r="E48" s="13">
        <v>1</v>
      </c>
      <c r="F48" s="58">
        <v>600000</v>
      </c>
      <c r="G48" s="13">
        <v>1</v>
      </c>
      <c r="H48" s="59">
        <f t="shared" si="4"/>
        <v>600000</v>
      </c>
    </row>
    <row r="49" spans="2:8" ht="15.75" customHeight="1" x14ac:dyDescent="0.25">
      <c r="B49" s="57" t="s">
        <v>251</v>
      </c>
      <c r="C49" s="42" t="s">
        <v>310</v>
      </c>
      <c r="D49" s="42" t="s">
        <v>311</v>
      </c>
      <c r="E49" s="13">
        <v>8</v>
      </c>
      <c r="F49" s="58">
        <v>75000</v>
      </c>
      <c r="G49" s="13">
        <v>1</v>
      </c>
      <c r="H49" s="59">
        <f t="shared" si="4"/>
        <v>600000</v>
      </c>
    </row>
    <row r="50" spans="2:8" ht="15.75" customHeight="1" x14ac:dyDescent="0.25">
      <c r="B50" s="57" t="s">
        <v>251</v>
      </c>
      <c r="C50" s="42" t="s">
        <v>314</v>
      </c>
      <c r="D50" s="42" t="s">
        <v>315</v>
      </c>
      <c r="E50" s="13">
        <v>3</v>
      </c>
      <c r="F50" s="58">
        <v>400000</v>
      </c>
      <c r="G50" s="13">
        <v>1</v>
      </c>
      <c r="H50" s="59">
        <f t="shared" si="4"/>
        <v>1200000</v>
      </c>
    </row>
    <row r="51" spans="2:8" ht="15.75" customHeight="1" x14ac:dyDescent="0.25">
      <c r="B51" s="57" t="s">
        <v>251</v>
      </c>
      <c r="C51" s="42" t="s">
        <v>316</v>
      </c>
      <c r="D51" s="42" t="s">
        <v>317</v>
      </c>
      <c r="E51" s="13">
        <v>1</v>
      </c>
      <c r="F51" s="58">
        <v>300000</v>
      </c>
      <c r="G51" s="13">
        <v>1</v>
      </c>
      <c r="H51" s="59">
        <f t="shared" si="4"/>
        <v>300000</v>
      </c>
    </row>
    <row r="52" spans="2:8" ht="15.75" customHeight="1" x14ac:dyDescent="0.25"/>
    <row r="53" spans="2:8" ht="15.75" customHeight="1" x14ac:dyDescent="0.25"/>
    <row r="54" spans="2:8" ht="15.75" customHeight="1" x14ac:dyDescent="0.25"/>
    <row r="55" spans="2:8" ht="15.75" customHeight="1" x14ac:dyDescent="0.25"/>
    <row r="56" spans="2:8" ht="15.75" customHeight="1" x14ac:dyDescent="0.25"/>
    <row r="57" spans="2:8" ht="15.75" customHeight="1" x14ac:dyDescent="0.25"/>
    <row r="58" spans="2:8" ht="15.75" customHeight="1" x14ac:dyDescent="0.25"/>
    <row r="59" spans="2:8" ht="15.75" customHeight="1" x14ac:dyDescent="0.25"/>
    <row r="60" spans="2:8" ht="15.75" customHeight="1" x14ac:dyDescent="0.25"/>
    <row r="61" spans="2:8" ht="15.75" customHeight="1" x14ac:dyDescent="0.25"/>
    <row r="62" spans="2:8" ht="15.75" customHeight="1" x14ac:dyDescent="0.25"/>
    <row r="63" spans="2:8" ht="15.75" customHeight="1" x14ac:dyDescent="0.25"/>
    <row r="64" spans="2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Schedule</vt:lpstr>
      <vt:lpstr>Gantt Chart</vt:lpstr>
      <vt:lpstr>Critical Path</vt:lpstr>
      <vt:lpstr>Resources</vt:lpstr>
      <vt:lpstr>Budget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2026-10-28T16:05:35Z</dcterms:modified>
</cp:coreProperties>
</file>